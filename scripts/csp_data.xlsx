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H\Documents\GitHub\csp-guru\csp-guru\"/>
    </mc:Choice>
  </mc:AlternateContent>
  <xr:revisionPtr revIDLastSave="0" documentId="13_ncr:1_{093ED339-6936-4CC1-B3D4-C8350AA4EC98}" xr6:coauthVersionLast="47" xr6:coauthVersionMax="47" xr10:uidLastSave="{00000000-0000-0000-0000-000000000000}"/>
  <bookViews>
    <workbookView xWindow="13470" yWindow="-16320" windowWidth="29040" windowHeight="15840" xr2:uid="{CBAE575A-07C4-4BF8-8763-A77EB57639B5}"/>
  </bookViews>
  <sheets>
    <sheet name="csp-guru" sheetId="2" r:id="rId1"/>
    <sheet name="About" sheetId="3" r:id="rId2"/>
  </sheets>
  <definedNames>
    <definedName name="_xlnm._FilterDatabase" localSheetId="0" hidden="1">'csp-guru'!$A$1:$CM$147</definedName>
    <definedName name="ExternalData_1" localSheetId="0" hidden="1">'csp-guru'!$A$1:$CM$144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117" i="2" l="1"/>
  <c r="BY2" i="2"/>
  <c r="BY3" i="2"/>
  <c r="BY4" i="2"/>
  <c r="BY5" i="2"/>
  <c r="BY6" i="2"/>
  <c r="BY7" i="2"/>
  <c r="BY8" i="2"/>
  <c r="BY9" i="2"/>
  <c r="BY10" i="2"/>
  <c r="BY12" i="2"/>
  <c r="BY11" i="2"/>
  <c r="BY13" i="2"/>
  <c r="BY14" i="2"/>
  <c r="BY15" i="2"/>
  <c r="BY16" i="2"/>
  <c r="BY18" i="2"/>
  <c r="BY19" i="2"/>
  <c r="BY20" i="2"/>
  <c r="BY22" i="2"/>
  <c r="BY23" i="2"/>
  <c r="BY24" i="2"/>
  <c r="BY25" i="2"/>
  <c r="BY26" i="2"/>
  <c r="BY27" i="2"/>
  <c r="BY28" i="2"/>
  <c r="BY29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8" i="2"/>
  <c r="BY79" i="2"/>
  <c r="BY80" i="2"/>
  <c r="BY82" i="2"/>
  <c r="BY83" i="2"/>
  <c r="BY84" i="2"/>
  <c r="BY85" i="2"/>
  <c r="BY86" i="2"/>
  <c r="BY88" i="2"/>
  <c r="BY89" i="2"/>
  <c r="BY90" i="2"/>
  <c r="BY92" i="2"/>
  <c r="BY93" i="2"/>
  <c r="BY95" i="2"/>
  <c r="BY97" i="2"/>
  <c r="BY98" i="2"/>
  <c r="BY100" i="2"/>
  <c r="BY101" i="2"/>
  <c r="BY102" i="2"/>
  <c r="BY103" i="2"/>
  <c r="BY104" i="2"/>
  <c r="BY105" i="2"/>
  <c r="BY106" i="2"/>
  <c r="BY107" i="2"/>
  <c r="BY81" i="2"/>
  <c r="BY91" i="2"/>
  <c r="BY94" i="2"/>
  <c r="BY109" i="2"/>
  <c r="BY110" i="2"/>
  <c r="BY111" i="2"/>
  <c r="BY112" i="2"/>
  <c r="BY113" i="2"/>
  <c r="BY115" i="2"/>
  <c r="BY116" i="2"/>
  <c r="BY118" i="2"/>
  <c r="BY121" i="2"/>
  <c r="BY122" i="2"/>
  <c r="BY124" i="2"/>
  <c r="BY125" i="2"/>
  <c r="BY126" i="2"/>
  <c r="BY130" i="2"/>
  <c r="BY131" i="2"/>
  <c r="BY133" i="2"/>
  <c r="BY136" i="2"/>
  <c r="BY147" i="2"/>
  <c r="BY143" i="2"/>
  <c r="BY140" i="2"/>
  <c r="BY139" i="2"/>
  <c r="I142" i="2"/>
  <c r="I143" i="2"/>
  <c r="L144" i="2"/>
  <c r="L143" i="2"/>
  <c r="L142" i="2"/>
  <c r="L140" i="2"/>
  <c r="L130" i="2"/>
  <c r="L129" i="2"/>
  <c r="L124" i="2"/>
  <c r="L123" i="2"/>
  <c r="L121" i="2"/>
  <c r="L119" i="2"/>
  <c r="L110" i="2"/>
  <c r="L109" i="2"/>
  <c r="L108" i="2"/>
  <c r="L103" i="2"/>
  <c r="L98" i="2"/>
  <c r="L95" i="2"/>
  <c r="L86" i="2"/>
  <c r="L52" i="2"/>
  <c r="L40" i="2"/>
  <c r="L39" i="2"/>
  <c r="L3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1" i="2"/>
  <c r="I32" i="2"/>
  <c r="I34" i="2"/>
  <c r="I35" i="2"/>
  <c r="I36" i="2"/>
  <c r="I37" i="2"/>
  <c r="I38" i="2"/>
  <c r="I40" i="2"/>
  <c r="I41" i="2"/>
  <c r="I43" i="2"/>
  <c r="I44" i="2"/>
  <c r="I45" i="2"/>
  <c r="I46" i="2"/>
  <c r="I47" i="2"/>
  <c r="I48" i="2"/>
  <c r="I49" i="2"/>
  <c r="I50" i="2"/>
  <c r="I52" i="2"/>
  <c r="I53" i="2"/>
  <c r="I54" i="2"/>
  <c r="I56" i="2"/>
  <c r="I57" i="2"/>
  <c r="I58" i="2"/>
  <c r="I59" i="2"/>
  <c r="I60" i="2"/>
  <c r="I61" i="2"/>
  <c r="I62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8" i="2"/>
  <c r="I99" i="2"/>
  <c r="I100" i="2"/>
  <c r="I102" i="2"/>
  <c r="I103" i="2"/>
  <c r="I104" i="2"/>
  <c r="I105" i="2"/>
  <c r="I106" i="2"/>
  <c r="I107" i="2"/>
  <c r="I109" i="2"/>
  <c r="I110" i="2"/>
  <c r="I111" i="2"/>
  <c r="I112" i="2"/>
  <c r="I113" i="2"/>
  <c r="I114" i="2"/>
  <c r="I115" i="2"/>
  <c r="I116" i="2"/>
  <c r="I117" i="2"/>
  <c r="I118" i="2"/>
  <c r="I120" i="2"/>
  <c r="I121" i="2"/>
  <c r="I122" i="2"/>
  <c r="I123" i="2"/>
  <c r="I125" i="2"/>
  <c r="I126" i="2"/>
  <c r="I130" i="2"/>
  <c r="I140" i="2"/>
  <c r="I1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551F5-8E7F-4B9A-BF75-1433FCB25DBD}" keepAlive="1" name="Query - csp-guru" description="Connection to the 'csp-guru' query in the workbook." type="5" refreshedVersion="7" background="1" saveData="1">
    <dbPr connection="Provider=Microsoft.Mashup.OleDb.1;Data Source=$Workbook$;Location=csp-guru;Extended Properties=&quot;&quot;" command="SELECT * FROM [csp-guru]"/>
  </connection>
</connections>
</file>

<file path=xl/sharedStrings.xml><?xml version="1.0" encoding="utf-8"?>
<sst xmlns="http://schemas.openxmlformats.org/spreadsheetml/2006/main" count="2655" uniqueCount="432">
  <si>
    <t>Power_station</t>
  </si>
  <si>
    <t>Local_spelling</t>
  </si>
  <si>
    <t>OpenCSP_ID</t>
  </si>
  <si>
    <t>Country</t>
  </si>
  <si>
    <t>Region</t>
  </si>
  <si>
    <t>Status</t>
  </si>
  <si>
    <t>Capacity_MW</t>
  </si>
  <si>
    <t>Expected_generation_GWh_per_yr</t>
  </si>
  <si>
    <t>Capacity_factor</t>
  </si>
  <si>
    <t>Technology</t>
  </si>
  <si>
    <t>Hybridisation_capacity</t>
  </si>
  <si>
    <t>Hybridisation_ratio</t>
  </si>
  <si>
    <t>Hybridisation_comment</t>
  </si>
  <si>
    <t>Year_construction_start</t>
  </si>
  <si>
    <t>Year_operational</t>
  </si>
  <si>
    <t>State_highest_administrative_level</t>
  </si>
  <si>
    <t>Province_County_medium_administrative_level</t>
  </si>
  <si>
    <t>City_lowest_administrative_level</t>
  </si>
  <si>
    <t>Location_coordinates</t>
  </si>
  <si>
    <t>DNI_kWh_per_m2_per_yr</t>
  </si>
  <si>
    <t>Total_cost_million_currency_non_deflated</t>
  </si>
  <si>
    <t>Cost_currency</t>
  </si>
  <si>
    <t>Currency_year</t>
  </si>
  <si>
    <t>Total_cost_million_USD2020</t>
  </si>
  <si>
    <t>Specific_cost_USD2020_per_kW</t>
  </si>
  <si>
    <t>LCOE_5_25_USD2020_per_kWh</t>
  </si>
  <si>
    <t>Remuneration_currency_per_kWh</t>
  </si>
  <si>
    <t>Support_currency</t>
  </si>
  <si>
    <t>Cost_year_remuneration</t>
  </si>
  <si>
    <t>Remuneration_USD2020_per_kWh_deflated</t>
  </si>
  <si>
    <t>PPA_or_support_duration_yr</t>
  </si>
  <si>
    <t>Support_scheme_type</t>
  </si>
  <si>
    <t>Policy_support_scheme</t>
  </si>
  <si>
    <t>Concessional_funding_other_support</t>
  </si>
  <si>
    <t>Land_area_whole_station_not_solar_field_km2</t>
  </si>
  <si>
    <t>Developer</t>
  </si>
  <si>
    <t>Developer_country</t>
  </si>
  <si>
    <t>First_owner</t>
  </si>
  <si>
    <t>First_operator</t>
  </si>
  <si>
    <t>Electricity_generation_offtaker</t>
  </si>
  <si>
    <t>EPC</t>
  </si>
  <si>
    <t>EPC_country</t>
  </si>
  <si>
    <t>HTF_manufacturer</t>
  </si>
  <si>
    <t>HTF_manufacturer_country</t>
  </si>
  <si>
    <t>HTF_medium_or_product</t>
  </si>
  <si>
    <t>HTF_category</t>
  </si>
  <si>
    <t>Steam_turbine_manufacturer</t>
  </si>
  <si>
    <t>Steam_turbine_manufacturer_country</t>
  </si>
  <si>
    <t>Turbine_model</t>
  </si>
  <si>
    <t>Turbine_thermodynamic_cycle</t>
  </si>
  <si>
    <t>Power_cycle_pressure_bar</t>
  </si>
  <si>
    <t>Turbine_efficiency_percent</t>
  </si>
  <si>
    <t>Heat_exchanger_manufacturer</t>
  </si>
  <si>
    <t>Heat_exchanger_manufacturer_country</t>
  </si>
  <si>
    <t>Cooling_type</t>
  </si>
  <si>
    <t>Energy_storage_type</t>
  </si>
  <si>
    <t>Storage_capacity_hours</t>
  </si>
  <si>
    <t>Storage_description</t>
  </si>
  <si>
    <t>TES_engineering_company</t>
  </si>
  <si>
    <t>TES_engineering_company_country</t>
  </si>
  <si>
    <t>Solar_receiver_manufacturer</t>
  </si>
  <si>
    <t>Solar_receiver_country</t>
  </si>
  <si>
    <t>Solar_receiver_model</t>
  </si>
  <si>
    <t>Tower_height_m</t>
  </si>
  <si>
    <t>Number_of_heat_collecting_elements_for_trough_and_fresnel</t>
  </si>
  <si>
    <t>Receiver_inlet_temperature_Celsius</t>
  </si>
  <si>
    <t>Receiver_outlet_temperature_Celsius</t>
  </si>
  <si>
    <t>SCA_or_heliostat_manufacturer</t>
  </si>
  <si>
    <t>SCA_or_heliostat_manufacturer_country</t>
  </si>
  <si>
    <t>SCA_or_heliostat_engineering_or_IP_owner_company</t>
  </si>
  <si>
    <t>SCA_or_heliostat_engineering_or_IP_owner_company_country</t>
  </si>
  <si>
    <t>SCA_or_heliostat_model</t>
  </si>
  <si>
    <t>Reflector_mirror_manufacturer</t>
  </si>
  <si>
    <t>Reflector_mirror_manufacturer_country</t>
  </si>
  <si>
    <t>Reflector_model</t>
  </si>
  <si>
    <t>Solar_mirror_area_m2</t>
  </si>
  <si>
    <t>Solar_multiple</t>
  </si>
  <si>
    <t>Number_of_heliostats_or_dishes</t>
  </si>
  <si>
    <t>Mirror_area_per_heliostat_or_dish</t>
  </si>
  <si>
    <t>Fresnel_line_width_m</t>
  </si>
  <si>
    <t>Fresnel_number_of_lines</t>
  </si>
  <si>
    <t>Fresnel_line_length_m</t>
  </si>
  <si>
    <t>Trough_solar_collector_area_m2</t>
  </si>
  <si>
    <t>Trough_SCA_length_m</t>
  </si>
  <si>
    <t>Trough_number_of_loops</t>
  </si>
  <si>
    <t>Trough_number_of_modules_per_SCA</t>
  </si>
  <si>
    <t>Trough_number_of_SCA</t>
  </si>
  <si>
    <t>Trough_number_of_SCA_per_loop</t>
  </si>
  <si>
    <t>Construction_jobs_years</t>
  </si>
  <si>
    <t>Annual_operations_jobs</t>
  </si>
  <si>
    <t>Additional_sources_relative_to_2019_version_of_cspGURU_and_NRELSolarPACES_as_of_31_January_2020</t>
  </si>
  <si>
    <t>Planta Solar 10 - PS10</t>
  </si>
  <si>
    <t/>
  </si>
  <si>
    <t>Spain</t>
  </si>
  <si>
    <t>Europe</t>
  </si>
  <si>
    <t>Operational</t>
  </si>
  <si>
    <t>Power Tower</t>
  </si>
  <si>
    <t>Andalusia</t>
  </si>
  <si>
    <t>Sevilla</t>
  </si>
  <si>
    <t>Sanlúcar la Mayor</t>
  </si>
  <si>
    <t>37.442,-6.25</t>
  </si>
  <si>
    <t>EUR</t>
  </si>
  <si>
    <t>FIT</t>
  </si>
  <si>
    <t>Royal Decree 661/2007</t>
  </si>
  <si>
    <t>Andalusian government €1.2 million; European Commission FP5 €5 million</t>
  </si>
  <si>
    <t>Abengoa</t>
  </si>
  <si>
    <t>Abengoa Solar</t>
  </si>
  <si>
    <t>Electric Market (Pool), Endesa Distribución (FIT)</t>
  </si>
  <si>
    <t>Abener</t>
  </si>
  <si>
    <t>Water</t>
  </si>
  <si>
    <t>GE</t>
  </si>
  <si>
    <t>USA</t>
  </si>
  <si>
    <t>Thermodyn</t>
  </si>
  <si>
    <t>Wet</t>
  </si>
  <si>
    <t>Other</t>
  </si>
  <si>
    <t>Aalborg CSP</t>
  </si>
  <si>
    <t>Denmark</t>
  </si>
  <si>
    <t>Cavity</t>
  </si>
  <si>
    <t>Solucar 120</t>
  </si>
  <si>
    <t>Flabeg</t>
  </si>
  <si>
    <t>Germany</t>
  </si>
  <si>
    <t>Andasol 1</t>
  </si>
  <si>
    <t>Parabolic Trough</t>
  </si>
  <si>
    <t>Granada</t>
  </si>
  <si>
    <t>Aldeire y La Calahorra</t>
  </si>
  <si>
    <t>37.231,-3.071</t>
  </si>
  <si>
    <t>Real Decreto 661/2007</t>
  </si>
  <si>
    <t>EIB €116.7 million; European Commission 5th Framework Programme grant €5 million</t>
  </si>
  <si>
    <t>Solar Millennium</t>
  </si>
  <si>
    <t>ACS/Cobra 75%, 25% Solar Millennium</t>
  </si>
  <si>
    <t>Cobra O&amp;M</t>
  </si>
  <si>
    <t>Endesa</t>
  </si>
  <si>
    <t>Cobra 80%; Sener 20%</t>
  </si>
  <si>
    <t>Dow</t>
  </si>
  <si>
    <t>Biphenyl/Diphenyl oxide: Dowtherm A</t>
  </si>
  <si>
    <t>Thermal oil/organics</t>
  </si>
  <si>
    <t>Siemens</t>
  </si>
  <si>
    <t>SST-700</t>
  </si>
  <si>
    <t>Steam Rankine</t>
  </si>
  <si>
    <t>2-tank indirect</t>
  </si>
  <si>
    <t>28,500 tons of molten salt. 60% sodium nitrate, 40% potassium nitrate. 1,010 MWh. Tanks are 14 m high and 36 m in diameter.</t>
  </si>
  <si>
    <t>Schott; Solel</t>
  </si>
  <si>
    <t>Germany; Israel</t>
  </si>
  <si>
    <t>PTR 70; UVAC 2008</t>
  </si>
  <si>
    <t>UTE CT Andasol-1 (Flagsol)</t>
  </si>
  <si>
    <t>SBP, Solar Milenium</t>
  </si>
  <si>
    <t>SKAL ET-150</t>
  </si>
  <si>
    <t>RP3</t>
  </si>
  <si>
    <t>Andasol 2</t>
  </si>
  <si>
    <t>EIB €112.5 million</t>
  </si>
  <si>
    <t>Schott</t>
  </si>
  <si>
    <t>Flagsol</t>
  </si>
  <si>
    <t>Ibersol Ciudad Real (Puertollano)</t>
  </si>
  <si>
    <t>Castilla-La Mancha</t>
  </si>
  <si>
    <t>Ciudad Real</t>
  </si>
  <si>
    <t>Puertollano</t>
  </si>
  <si>
    <t>38.643,-3.975</t>
  </si>
  <si>
    <t>Iberdrola</t>
  </si>
  <si>
    <t> 90% Iberdola; IDAE 10%</t>
  </si>
  <si>
    <t>Iberdrola Renovables</t>
  </si>
  <si>
    <t>Market</t>
  </si>
  <si>
    <t>Schott, Solel</t>
  </si>
  <si>
    <t>ET-150</t>
  </si>
  <si>
    <t>Flabeg, Rioglass</t>
  </si>
  <si>
    <t>Germany, Spain</t>
  </si>
  <si>
    <t>La Risca - Alvarado I</t>
  </si>
  <si>
    <t>Extremadura</t>
  </si>
  <si>
    <t>Badajoz</t>
  </si>
  <si>
    <t>Alvarado</t>
  </si>
  <si>
    <t>38.827,-6.826</t>
  </si>
  <si>
    <t>Acciona</t>
  </si>
  <si>
    <t>Acciona Energía</t>
  </si>
  <si>
    <t>Acciona, IDOM</t>
  </si>
  <si>
    <t>Biphenyl/Diphenyl oxide</t>
  </si>
  <si>
    <t>Gossamer Space Frames</t>
  </si>
  <si>
    <t>SGNX-2</t>
  </si>
  <si>
    <t>RP2</t>
  </si>
  <si>
    <t>Planta Solar 20 - PS20</t>
  </si>
  <si>
    <t>Andalusian government €1.2 million</t>
  </si>
  <si>
    <t>Franco Tosi</t>
  </si>
  <si>
    <t>Italy</t>
  </si>
  <si>
    <t>Puerto Errado 1 Thermosolar Power Plant</t>
  </si>
  <si>
    <t>Linear Fresnel</t>
  </si>
  <si>
    <t>Región de Murcia</t>
  </si>
  <si>
    <t>Murcia</t>
  </si>
  <si>
    <t>Calasparra</t>
  </si>
  <si>
    <t>38.278,-1.6</t>
  </si>
  <si>
    <t>b1.2 R.D 661/2007</t>
  </si>
  <si>
    <t>Novatec Solar GmbH</t>
  </si>
  <si>
    <t>Spain, Germany</t>
  </si>
  <si>
    <t>Novatec Solar España S.L.</t>
  </si>
  <si>
    <t>Novatec Solar España S.L., Power Support</t>
  </si>
  <si>
    <t>Iberdrola S.A.U., REE</t>
  </si>
  <si>
    <t>KKK-Siemens</t>
  </si>
  <si>
    <t>Dry</t>
  </si>
  <si>
    <t>Single-tank thermocline</t>
  </si>
  <si>
    <t>Ruths tank</t>
  </si>
  <si>
    <t>Novatec</t>
  </si>
  <si>
    <t>Nova-1</t>
  </si>
  <si>
    <t>Solnova 1</t>
  </si>
  <si>
    <t>EIB for Solnova 1 and 3: €129 million</t>
  </si>
  <si>
    <t>Electrical Market (Pool), Endesa Distribution (FIT)</t>
  </si>
  <si>
    <t>Thermal oil</t>
  </si>
  <si>
    <t>Astro (ET-150)</t>
  </si>
  <si>
    <t>Rioglass</t>
  </si>
  <si>
    <t>Solnova 3</t>
  </si>
  <si>
    <t>Solnova 4</t>
  </si>
  <si>
    <t>Extresol 1</t>
  </si>
  <si>
    <t>Torre de Miguel Sesmero</t>
  </si>
  <si>
    <t>38.65,-6.733</t>
  </si>
  <si>
    <t>Cobra</t>
  </si>
  <si>
    <t>FCC Energy</t>
  </si>
  <si>
    <t>Cobra, Sener</t>
  </si>
  <si>
    <t>PTR 70</t>
  </si>
  <si>
    <t>UTE CT Extresol-1: Cobra (80%) and Sener (20%</t>
  </si>
  <si>
    <t>Sener</t>
  </si>
  <si>
    <t>SenerTrough</t>
  </si>
  <si>
    <t>Extresol 2</t>
  </si>
  <si>
    <t>Solel</t>
  </si>
  <si>
    <t>Israel</t>
  </si>
  <si>
    <t>UVAC-2008</t>
  </si>
  <si>
    <t>La Florida</t>
  </si>
  <si>
    <t>38.817,-6.829</t>
  </si>
  <si>
    <t>Renovables SAMCA</t>
  </si>
  <si>
    <t>SST 800</t>
  </si>
  <si>
    <t>29,000 tons of molten salt. 60% sodium nitrate, 40% potassium nitrate.</t>
  </si>
  <si>
    <t>Ingemetal</t>
  </si>
  <si>
    <t>SAMCA</t>
  </si>
  <si>
    <t>SAMCA-Trough</t>
  </si>
  <si>
    <t>Majadas I</t>
  </si>
  <si>
    <t>Cáceres</t>
  </si>
  <si>
    <t>Majadas de Tiétar</t>
  </si>
  <si>
    <t>39.968,-5.742</t>
  </si>
  <si>
    <t>RD 661/2007</t>
  </si>
  <si>
    <t>Palma del Río II</t>
  </si>
  <si>
    <t>Córdoba</t>
  </si>
  <si>
    <t>Palma del Río</t>
  </si>
  <si>
    <t>37.645,-5.258</t>
  </si>
  <si>
    <t>Guardian</t>
  </si>
  <si>
    <t>Andasol 3</t>
  </si>
  <si>
    <t>37.229,-3.069</t>
  </si>
  <si>
    <t>Solar Millennium (Ferrostaal)</t>
  </si>
  <si>
    <t>Ferrostaal, Solar Millennium, RWE</t>
  </si>
  <si>
    <t>MAN Solar Millennium; Duro Felguera</t>
  </si>
  <si>
    <t>Germany; Spain</t>
  </si>
  <si>
    <t>Thermal Oil</t>
  </si>
  <si>
    <t>MAN Turbo</t>
  </si>
  <si>
    <t>Molten salts</t>
  </si>
  <si>
    <t>Arcosol 50 (Valle I)</t>
  </si>
  <si>
    <t>Cádiz</t>
  </si>
  <si>
    <t>San José del Valle</t>
  </si>
  <si>
    <t>36.661,-5.833</t>
  </si>
  <si>
    <t>Torresol</t>
  </si>
  <si>
    <t>Spain, UAE</t>
  </si>
  <si>
    <t>Torresol (Sener &amp; Masdar)</t>
  </si>
  <si>
    <t>UTE Valle I</t>
  </si>
  <si>
    <t>28,500 tons of molten salt. 60% sodium nitrate, 40% potassium nitrate.</t>
  </si>
  <si>
    <t>Gemasolar Thermosolar Plant / Solar TRES</t>
  </si>
  <si>
    <t>Fuentes de Andalucía</t>
  </si>
  <si>
    <t>37.562,-5.33</t>
  </si>
  <si>
    <t>EIB €110 million; ICO €16.14 million</t>
  </si>
  <si>
    <t>Masdar, Sener</t>
  </si>
  <si>
    <t>Torresol O&amp;M</t>
  </si>
  <si>
    <t>UTE Solar Tres</t>
  </si>
  <si>
    <t>Molten salts (sodium and potassium nitrates)</t>
  </si>
  <si>
    <t>Salt</t>
  </si>
  <si>
    <t>SST-600</t>
  </si>
  <si>
    <t>2-tank direct</t>
  </si>
  <si>
    <t>One cold-salts tank (290ºC) from where salts are pumped to the tower receiver and heated up to 565ºC, to be stored in one hot-salts tank (565ºC). Annual equivalent hours = 5,000.</t>
  </si>
  <si>
    <t>ITP JV: Sener, Rolls Royce</t>
  </si>
  <si>
    <t>HE54 </t>
  </si>
  <si>
    <t>Helioenergy 1</t>
  </si>
  <si>
    <t>Écija</t>
  </si>
  <si>
    <t>37.582,-5.116</t>
  </si>
  <si>
    <t>Abengoa Solar, EON</t>
  </si>
  <si>
    <t>Abengoa, Eon</t>
  </si>
  <si>
    <t>Abengoa, EON</t>
  </si>
  <si>
    <t>Abener, Teyma</t>
  </si>
  <si>
    <t>La Dehesa</t>
  </si>
  <si>
    <t>La Garrovilla</t>
  </si>
  <si>
    <t>38.952,-6.463</t>
  </si>
  <si>
    <t>Lebrija 1</t>
  </si>
  <si>
    <t>Lebrija</t>
  </si>
  <si>
    <t>37.003,-6.048</t>
  </si>
  <si>
    <t>Solucia</t>
  </si>
  <si>
    <t>Solel 50%, Valoriza 50%</t>
  </si>
  <si>
    <t>Soleval Renovables, S.L.</t>
  </si>
  <si>
    <t>Soleval Renovables</t>
  </si>
  <si>
    <t>Eastman/Solutia</t>
  </si>
  <si>
    <t>Biphenyl/Diphenyl oxide: Therminol VP-1</t>
  </si>
  <si>
    <t>UVAC-2010</t>
  </si>
  <si>
    <t>SunField 6</t>
  </si>
  <si>
    <t>EcoGuard Solar Boost</t>
  </si>
  <si>
    <t>Manchasol 1</t>
  </si>
  <si>
    <t>Alcázar de San Juan</t>
  </si>
  <si>
    <t>39.188,-3.309</t>
  </si>
  <si>
    <t>EIB €58 million; KfW 45 million Euro loan</t>
  </si>
  <si>
    <t>ACS/Cobra</t>
  </si>
  <si>
    <t>Unión Fenosa</t>
  </si>
  <si>
    <t>28,500 tons of molten salt. 60% sodium nitrate, 40% potassium nitrate. 375 MWh. Tanks are 14 m high and 36 m in diameter.</t>
  </si>
  <si>
    <t>Manchasol 2</t>
  </si>
  <si>
    <t>39.182,-3.314</t>
  </si>
  <si>
    <t>Palma del Río I</t>
  </si>
  <si>
    <t>Termesol 50</t>
  </si>
  <si>
    <t>36.661,-5.847</t>
  </si>
  <si>
    <t>Torresol (Sener, Masdar)</t>
  </si>
  <si>
    <t>SenerTrough2</t>
  </si>
  <si>
    <t>Aste 1A</t>
  </si>
  <si>
    <t>39.176,-3.234</t>
  </si>
  <si>
    <t>Elecnor, Aries</t>
  </si>
  <si>
    <t>Elcnor, Aries, ABM Amro</t>
  </si>
  <si>
    <t>Elecnor</t>
  </si>
  <si>
    <t>Molten salts; 60% Sodium Nitrate, 40% Potassium Nitrate</t>
  </si>
  <si>
    <t>Aste 1B</t>
  </si>
  <si>
    <t>HTF Boiler</t>
  </si>
  <si>
    <t>39.173,-3.267</t>
  </si>
  <si>
    <t>60% Sodium Nitrate, 40% Potassium Nitrate. 1,010 MWht</t>
  </si>
  <si>
    <t>Astexol II</t>
  </si>
  <si>
    <t>Olivenza</t>
  </si>
  <si>
    <t>38.81,-7.053</t>
  </si>
  <si>
    <t>60% Sodium Nitrate, 40% Potassium Nitrate</t>
  </si>
  <si>
    <t>Flagsol, SBP</t>
  </si>
  <si>
    <t>Borges Termosolar</t>
  </si>
  <si>
    <t>Biomass-Hybrid; Trough</t>
  </si>
  <si>
    <t>Biomass (2x22MWt)</t>
  </si>
  <si>
    <t>Catalonia</t>
  </si>
  <si>
    <t>Lleida</t>
  </si>
  <si>
    <t>Les Borges Blanques</t>
  </si>
  <si>
    <t>41.529,0.8</t>
  </si>
  <si>
    <t>Abantia</t>
  </si>
  <si>
    <t>Abantia, Comsa</t>
  </si>
  <si>
    <t>Abantia &amp; Comsa</t>
  </si>
  <si>
    <t>Extresol 3</t>
  </si>
  <si>
    <t>USD</t>
  </si>
  <si>
    <t>Guzmán</t>
  </si>
  <si>
    <t>37.152,-5.271</t>
  </si>
  <si>
    <t>FCC Energy, Mitsui</t>
  </si>
  <si>
    <t>FCC, Abantia, IDOM</t>
  </si>
  <si>
    <t>Helioenergy 2</t>
  </si>
  <si>
    <t>Helios I</t>
  </si>
  <si>
    <t>Puerto Lápice</t>
  </si>
  <si>
    <t>39.24,-3.47</t>
  </si>
  <si>
    <t>Real Decreto 661/2010</t>
  </si>
  <si>
    <t>EIB €30.6 million </t>
  </si>
  <si>
    <t>Hyperion</t>
  </si>
  <si>
    <t>Hypesol Energy Holding, Hyperion, others</t>
  </si>
  <si>
    <t>REE</t>
  </si>
  <si>
    <t>Helios II</t>
  </si>
  <si>
    <t>Real Decreto 661/2011</t>
  </si>
  <si>
    <t>Radco Industries</t>
  </si>
  <si>
    <t>Biphenyl/Diphenyl oxide: Xceltherm</t>
  </si>
  <si>
    <t>La Africana</t>
  </si>
  <si>
    <t>Posadas</t>
  </si>
  <si>
    <t>37.755,-5.057</t>
  </si>
  <si>
    <t>Ortiz, TSK, Magtel</t>
  </si>
  <si>
    <t>Biphenyl/Diphenyl oxide:Dowtherm A https://www.diariodesevilla.es/economia/Dow-augura-ralentizacion-termosolar-Espana_0_541446341.html  Synthetic Oil http://www.africanaenergia.es/index.php/en/africana-energia.html</t>
  </si>
  <si>
    <t>60% Sodium Nitrate, 40% Potassium Nitrate.</t>
  </si>
  <si>
    <t>Morón</t>
  </si>
  <si>
    <t>Morón de la Frontera</t>
  </si>
  <si>
    <t>37.14,-5.471</t>
  </si>
  <si>
    <t>Ibereolica</t>
  </si>
  <si>
    <t>Ibereolica Solar</t>
  </si>
  <si>
    <t>Acciona, Seridom</t>
  </si>
  <si>
    <t>Saint Gobain</t>
  </si>
  <si>
    <t>France</t>
  </si>
  <si>
    <t>Olivenza 1</t>
  </si>
  <si>
    <t>38.81,-7.059</t>
  </si>
  <si>
    <t>Orellana</t>
  </si>
  <si>
    <t>38.992,-5.549</t>
  </si>
  <si>
    <t>SST-700 i</t>
  </si>
  <si>
    <t>Puerto Errado 2 Thermosolar Power Plant</t>
  </si>
  <si>
    <t>Novatec Biosol</t>
  </si>
  <si>
    <t>Elektra Baselland, Industrielle Werke basel, Novatec Biosol</t>
  </si>
  <si>
    <t>Water/Steam</t>
  </si>
  <si>
    <t>Thermodyne </t>
  </si>
  <si>
    <t>Solaben 2</t>
  </si>
  <si>
    <t>Logrosán</t>
  </si>
  <si>
    <t>39.225,-5.391</t>
  </si>
  <si>
    <t>Abengoa (70%), Itochu (30%)</t>
  </si>
  <si>
    <t>Solaben 3</t>
  </si>
  <si>
    <t>Solacor 1</t>
  </si>
  <si>
    <t>El Carpio</t>
  </si>
  <si>
    <t>37.957,-4.492</t>
  </si>
  <si>
    <t>Abengoa (76%), JGC (24%()</t>
  </si>
  <si>
    <t>Solacor 2</t>
  </si>
  <si>
    <t>Arenales</t>
  </si>
  <si>
    <t>37.162,-5.548</t>
  </si>
  <si>
    <t>Solar millennium, OHL, Deutsche Bank</t>
  </si>
  <si>
    <t>RREF, OHL</t>
  </si>
  <si>
    <t>OHL</t>
  </si>
  <si>
    <t>Ecolair España</t>
  </si>
  <si>
    <t>Lanxess</t>
  </si>
  <si>
    <t>Biphenyl/Diphenyl oxide: Diphyl</t>
  </si>
  <si>
    <t>Molten salts; 60% Sodium Nitrate, 40% Potassium Nitrate.</t>
  </si>
  <si>
    <t>Casablanca</t>
  </si>
  <si>
    <t>Talarrubias</t>
  </si>
  <si>
    <t>39.239,-5.314</t>
  </si>
  <si>
    <t>EIB €140 million</t>
  </si>
  <si>
    <t>Enerstar</t>
  </si>
  <si>
    <t>Comunidad Valenciana</t>
  </si>
  <si>
    <t>Alicante</t>
  </si>
  <si>
    <t>Villena</t>
  </si>
  <si>
    <t>38.729,-0.922</t>
  </si>
  <si>
    <t>FCC, IDOM</t>
  </si>
  <si>
    <t>Solaben 1</t>
  </si>
  <si>
    <t>EIB €100 million  (200 million for Solaben 1 and 6)</t>
  </si>
  <si>
    <t>Solaben 6</t>
  </si>
  <si>
    <t>Termosol 1</t>
  </si>
  <si>
    <t>Navalvillar de Pela</t>
  </si>
  <si>
    <t>39.193,-5.576</t>
  </si>
  <si>
    <t>NextEra, Florida Power &amp; Light</t>
  </si>
  <si>
    <t>NextEra, FPL</t>
  </si>
  <si>
    <t>Sener </t>
  </si>
  <si>
    <t>Termosol 2</t>
  </si>
  <si>
    <t>Flabeg </t>
  </si>
  <si>
    <t>CRS Sales</t>
  </si>
  <si>
    <t>Molten Salt</t>
  </si>
  <si>
    <t>https://doi.org/10.1016/j.egypro.2014.03.052</t>
  </si>
  <si>
    <t>CSP.guru 2023-01-01</t>
  </si>
  <si>
    <t>About:</t>
  </si>
  <si>
    <t>https://csp.guru/about/</t>
  </si>
  <si>
    <t>License:</t>
  </si>
  <si>
    <t>CC-BY 4.0</t>
  </si>
  <si>
    <t>https://creativecommons.org/licenses/by/4.0/legalcode</t>
  </si>
  <si>
    <t>Suggested citation:</t>
  </si>
  <si>
    <t>Richard Thonig, Alina Glimanova &amp; Johan Lilliestam. (2023). CSP.guru 2023-01-01. https://doi.org/10.5281/zenodo.1318151</t>
  </si>
  <si>
    <t>Funding:</t>
  </si>
  <si>
    <t>SolarPACES</t>
  </si>
  <si>
    <t>Contact:</t>
  </si>
  <si>
    <t>richard.thonig@rifs-potsdam.de</t>
  </si>
  <si>
    <t>Archive:</t>
  </si>
  <si>
    <t>https://doi.org/10.5281/zenodo.1318151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</si>
</sst>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思源黑体 CN Medium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2" borderId="1" xfId="0" applyFont="1" applyFill="1" applyBorder="1"/>
    <xf numFmtId="9" fontId="0" fillId="0" borderId="0" xfId="1" applyFont="1"/>
    <xf numFmtId="0" fontId="3" fillId="0" borderId="0" xfId="0" applyFont="1"/>
    <xf numFmtId="0" fontId="4" fillId="0" borderId="0" xfId="2" applyNumberFormat="1"/>
    <xf numFmtId="0" fontId="4" fillId="0" borderId="0" xfId="2"/>
    <xf numFmtId="164" fontId="0" fillId="0" borderId="0" xfId="0" applyNumberFormat="1"/>
    <xf numFmtId="0" fontId="5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eb.archive.org/web/20230327124259/https:/www.solarpaces.org/wp-content/uploads/Blue-Book-on-Chinas-CSP-Industry-2021.pdf" TargetMode="External"/><Relationship Id="rId1" Type="http://schemas.openxmlformats.org/officeDocument/2006/relationships/hyperlink" Target="https://web.archive.org/web/20220715095002/https:/cspplaza.com/article-20866-1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thonig@rifs-potsdam.de" TargetMode="External"/><Relationship Id="rId2" Type="http://schemas.openxmlformats.org/officeDocument/2006/relationships/hyperlink" Target="https://csp.guru/about/" TargetMode="External"/><Relationship Id="rId1" Type="http://schemas.openxmlformats.org/officeDocument/2006/relationships/hyperlink" Target="https://creativecommons.org/licenses/by/4.0/legalco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oi.org/10.5281/zenodo.1318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9696-B96D-4ED0-ACF8-5A8E00AFA897}">
  <sheetPr filterMode="1"/>
  <dimension ref="A1:CM147"/>
  <sheetViews>
    <sheetView workbookViewId="0"/>
  </sheetViews>
  <sheetFormatPr defaultRowHeight="15"/>
  <cols>
    <col min="1" max="1" width="41.29" bestFit="1" customWidth="1"/>
    <col min="2" max="2" width="15.29" bestFit="1" customWidth="1"/>
    <col min="3" max="3" width="11.29" bestFit="1" customWidth="1"/>
    <col min="4" max="4" width="8.29" bestFit="1" customWidth="1"/>
    <col min="5" max="5" width="7.29" bestFit="1" customWidth="1"/>
    <col min="6" max="7" width="12.29" bestFit="1" customWidth="1"/>
    <col min="8" max="8" width="31.29" bestFit="1" customWidth="1"/>
    <col min="9" max="9" width="16.29" bestFit="1" customWidth="1"/>
    <col min="10" max="11" width="23.29" bestFit="1" customWidth="1"/>
    <col min="12" max="12" width="20.29" bestFit="1" customWidth="1"/>
    <col min="13" max="13" width="22.29" bestFit="1" customWidth="1"/>
    <col min="14" max="14" width="24.29" bestFit="1" customWidth="1"/>
    <col min="15" max="15" width="17.29" bestFit="1" customWidth="1"/>
    <col min="16" max="16" width="35.29" bestFit="1" customWidth="1"/>
    <col min="17" max="17" width="44.29" bestFit="1" customWidth="1"/>
    <col min="18" max="18" width="33.29" bestFit="1" customWidth="1"/>
    <col min="19" max="19" width="21.29" bestFit="1" customWidth="1"/>
    <col min="20" max="20" width="22.29" bestFit="1" customWidth="1"/>
    <col min="21" max="21" width="41.29" bestFit="1" customWidth="1"/>
    <col min="22" max="23" width="14.29" bestFit="1" customWidth="1"/>
    <col min="24" max="24" width="27.29" bestFit="1" customWidth="1"/>
    <col min="25" max="25" width="29.29" bestFit="1" customWidth="1"/>
    <col min="26" max="26" width="26.29" bestFit="1" customWidth="1"/>
    <col min="27" max="27" width="30.29" bestFit="1" customWidth="1"/>
    <col min="28" max="28" width="17.29" bestFit="1" customWidth="1"/>
    <col min="29" max="29" width="23.29" bestFit="1" customWidth="1"/>
    <col min="30" max="30" width="38.29" bestFit="1" customWidth="1"/>
    <col min="31" max="31" width="27.29" bestFit="1" customWidth="1"/>
    <col min="32" max="32" width="20.29" bestFit="1" customWidth="1"/>
    <col min="33" max="33" width="22.29" bestFit="1" customWidth="1"/>
    <col min="34" max="34" width="81.29" bestFit="1" customWidth="1"/>
    <col min="35" max="35" width="44.29" bestFit="1" customWidth="1"/>
    <col min="36" max="36" width="37.29" bestFit="1" customWidth="1"/>
    <col min="37" max="37" width="18.29" bestFit="1" customWidth="1"/>
    <col min="38" max="38" width="60.29" bestFit="1" customWidth="1"/>
    <col min="39" max="39" width="41.29" bestFit="1" customWidth="1"/>
    <col min="40" max="40" width="52.29" bestFit="1" customWidth="1"/>
    <col min="41" max="41" width="36.29" bestFit="1" customWidth="1"/>
    <col min="42" max="42" width="15.29" bestFit="1" customWidth="1"/>
    <col min="43" max="43" width="17.29" bestFit="1" customWidth="1"/>
    <col min="44" max="44" width="25.29" bestFit="1" customWidth="1"/>
    <col min="45" max="45" width="215.29" bestFit="1" customWidth="1"/>
    <col min="46" max="46" width="21.29" bestFit="1" customWidth="1"/>
    <col min="47" max="47" width="27.29" bestFit="1" customWidth="1"/>
    <col min="48" max="48" width="35.29" bestFit="1" customWidth="1"/>
    <col min="49" max="49" width="14.29" bestFit="1" customWidth="1"/>
    <col min="50" max="50" width="28.29" bestFit="1" customWidth="1"/>
    <col min="51" max="51" width="25.29" bestFit="1" customWidth="1"/>
    <col min="52" max="52" width="27.29" bestFit="1" customWidth="1"/>
    <col min="53" max="53" width="28.29" bestFit="1" customWidth="1"/>
    <col min="54" max="54" width="36.29" bestFit="1" customWidth="1"/>
    <col min="55" max="55" width="13.29" bestFit="1" customWidth="1"/>
    <col min="56" max="56" width="24.29" bestFit="1" customWidth="1"/>
    <col min="57" max="57" width="23.29" bestFit="1" customWidth="1"/>
    <col min="58" max="58" width="179.29" bestFit="1" customWidth="1"/>
    <col min="59" max="59" width="24.29" bestFit="1" customWidth="1"/>
    <col min="60" max="60" width="32.29" bestFit="1" customWidth="1"/>
    <col min="61" max="61" width="28.29" bestFit="1" customWidth="1"/>
    <col min="62" max="62" width="23.29" bestFit="1" customWidth="1"/>
    <col min="63" max="63" width="21.29" bestFit="1" customWidth="1"/>
    <col min="64" max="64" width="15.29" bestFit="1" customWidth="1"/>
    <col min="65" max="65" width="58.29" bestFit="1" customWidth="1"/>
    <col min="66" max="66" width="35.29" bestFit="1" customWidth="1"/>
    <col min="67" max="67" width="36.29" bestFit="1" customWidth="1"/>
    <col min="68" max="68" width="46.29" bestFit="1" customWidth="1"/>
    <col min="69" max="69" width="38.29" bestFit="1" customWidth="1"/>
    <col min="70" max="70" width="49.29" bestFit="1" customWidth="1"/>
    <col min="71" max="71" width="57.29" bestFit="1" customWidth="1"/>
    <col min="72" max="72" width="23.29" bestFit="1" customWidth="1"/>
    <col min="73" max="73" width="30.29" bestFit="1" customWidth="1"/>
    <col min="74" max="74" width="38.29" bestFit="1" customWidth="1"/>
    <col min="75" max="76" width="21.29" bestFit="1" customWidth="1"/>
    <col min="77" max="77" width="15.29" bestFit="1" customWidth="1"/>
    <col min="78" max="78" width="31.29" bestFit="1" customWidth="1"/>
    <col min="79" max="79" width="34.29" bestFit="1" customWidth="1"/>
    <col min="80" max="80" width="21.29" bestFit="1" customWidth="1"/>
    <col min="81" max="81" width="24.29" bestFit="1" customWidth="1"/>
    <col min="82" max="82" width="22.29" bestFit="1" customWidth="1"/>
    <col min="83" max="83" width="31.29" bestFit="1" customWidth="1"/>
    <col min="84" max="84" width="20.29" bestFit="1" customWidth="1"/>
    <col min="85" max="85" width="23.29" bestFit="1" customWidth="1"/>
    <col min="86" max="86" width="33.29" bestFit="1" customWidth="1"/>
    <col min="87" max="87" width="21.29" bestFit="1" customWidth="1"/>
    <col min="88" max="88" width="30.29" bestFit="1" customWidth="1"/>
    <col min="89" max="89" width="24.29" bestFit="1" customWidth="1"/>
    <col min="90" max="90" width="23.29" bestFit="1" customWidth="1"/>
    <col min="91" max="91" width="96.29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s="8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s="1" t="s">
        <v>91</v>
      </c>
      <c r="B2" s="1" t="s">
        <v>92</v>
      </c>
      <c r="C2">
        <v>12</v>
      </c>
      <c r="D2" s="1" t="s">
        <v>93</v>
      </c>
      <c r="E2" s="1" t="s">
        <v>94</v>
      </c>
      <c r="F2" s="1" t="s">
        <v>95</v>
      </c>
      <c r="G2">
        <v>11</v>
      </c>
      <c r="H2">
        <v>23.4</v>
      </c>
      <c r="I2" s="4">
        <f/>
        <v/>
      </c>
      <c r="J2" s="1" t="s">
        <v>96</v>
      </c>
      <c r="M2" s="1" t="s">
        <v>92</v>
      </c>
      <c r="N2">
        <v>2005</v>
      </c>
      <c r="O2">
        <v>2007</v>
      </c>
      <c r="P2" s="1" t="s">
        <v>97</v>
      </c>
      <c r="Q2" s="1" t="s">
        <v>98</v>
      </c>
      <c r="R2" s="1" t="s">
        <v>99</v>
      </c>
      <c r="S2" s="1" t="s">
        <v>100</v>
      </c>
      <c r="T2">
        <v>2076</v>
      </c>
      <c r="U2">
        <v>35</v>
      </c>
      <c r="V2" s="1" t="s">
        <v>101</v>
      </c>
      <c r="W2">
        <v>2007</v>
      </c>
      <c r="X2">
        <v>56.93</v>
      </c>
      <c r="Y2">
        <v>5175.1</v>
      </c>
      <c r="Z2">
        <v>0.21</v>
      </c>
      <c r="AA2">
        <v>0.27</v>
      </c>
      <c r="AB2" s="1" t="s">
        <v>101</v>
      </c>
      <c r="AC2">
        <v>2007</v>
      </c>
      <c r="AD2">
        <v>0.44</v>
      </c>
      <c r="AE2">
        <v>25</v>
      </c>
      <c r="AF2" s="1" t="s">
        <v>102</v>
      </c>
      <c r="AG2" s="1" t="s">
        <v>103</v>
      </c>
      <c r="AH2" s="1" t="s">
        <v>104</v>
      </c>
      <c r="AI2">
        <v>0.55</v>
      </c>
      <c r="AJ2" s="1" t="s">
        <v>105</v>
      </c>
      <c r="AK2" s="1" t="s">
        <v>93</v>
      </c>
      <c r="AL2" s="1" t="s">
        <v>105</v>
      </c>
      <c r="AM2" s="1" t="s">
        <v>106</v>
      </c>
      <c r="AN2" s="1" t="s">
        <v>107</v>
      </c>
      <c r="AO2" s="1" t="s">
        <v>108</v>
      </c>
      <c r="AP2" s="1" t="s">
        <v>93</v>
      </c>
      <c r="AQ2" s="1" t="s">
        <v>92</v>
      </c>
      <c r="AR2" s="1" t="s">
        <v>92</v>
      </c>
      <c r="AS2" s="1" t="s">
        <v>109</v>
      </c>
      <c r="AT2" s="1" t="s">
        <v>109</v>
      </c>
      <c r="AU2" s="1" t="s">
        <v>110</v>
      </c>
      <c r="AV2" s="1" t="s">
        <v>111</v>
      </c>
      <c r="AW2" s="1" t="s">
        <v>112</v>
      </c>
      <c r="AX2" s="1" t="s">
        <v>92</v>
      </c>
      <c r="AY2">
        <v>45</v>
      </c>
      <c r="BA2" s="1" t="s">
        <v>92</v>
      </c>
      <c r="BB2" s="1" t="s">
        <v>92</v>
      </c>
      <c r="BC2" s="1" t="s">
        <v>113</v>
      </c>
      <c r="BD2" s="1" t="s">
        <v>114</v>
      </c>
      <c r="BE2">
        <v>1</v>
      </c>
      <c r="BF2" s="1" t="s">
        <v>92</v>
      </c>
      <c r="BG2" s="1" t="s">
        <v>92</v>
      </c>
      <c r="BH2" s="1" t="s">
        <v>92</v>
      </c>
      <c r="BI2" s="1" t="s">
        <v>115</v>
      </c>
      <c r="BJ2" s="1" t="s">
        <v>116</v>
      </c>
      <c r="BK2" s="1" t="s">
        <v>117</v>
      </c>
      <c r="BL2">
        <v>115</v>
      </c>
      <c r="BP2" s="1" t="s">
        <v>105</v>
      </c>
      <c r="BQ2" s="1" t="s">
        <v>93</v>
      </c>
      <c r="BR2" s="1" t="s">
        <v>105</v>
      </c>
      <c r="BS2" s="1" t="s">
        <v>93</v>
      </c>
      <c r="BT2" s="1" t="s">
        <v>118</v>
      </c>
      <c r="BU2" s="1" t="s">
        <v>119</v>
      </c>
      <c r="BV2" s="1" t="s">
        <v>120</v>
      </c>
      <c r="BW2" s="1" t="s">
        <v>92</v>
      </c>
      <c r="BX2">
        <v>75000</v>
      </c>
      <c r="BY2" s="8">
        <f>BX13/6000/G13</f>
        <v/>
      </c>
      <c r="BZ2">
        <v>624</v>
      </c>
      <c r="CA2">
        <v>120</v>
      </c>
      <c r="CM2" s="1" t="s">
        <v>92</v>
      </c>
    </row>
    <row r="3">
      <c r="A3" s="1" t="s">
        <v>121</v>
      </c>
      <c r="B3" s="1" t="s">
        <v>92</v>
      </c>
      <c r="C3">
        <v>13</v>
      </c>
      <c r="D3" s="1" t="s">
        <v>93</v>
      </c>
      <c r="E3" s="1" t="s">
        <v>94</v>
      </c>
      <c r="F3" s="1" t="s">
        <v>95</v>
      </c>
      <c r="G3">
        <v>50</v>
      </c>
      <c r="H3">
        <v>158</v>
      </c>
      <c r="I3" s="4">
        <f/>
        <v/>
      </c>
      <c r="J3" s="1" t="s">
        <v>122</v>
      </c>
      <c r="M3" s="1" t="s">
        <v>92</v>
      </c>
      <c r="N3">
        <v>2006</v>
      </c>
      <c r="O3">
        <v>2008</v>
      </c>
      <c r="P3" s="1" t="s">
        <v>97</v>
      </c>
      <c r="Q3" s="1" t="s">
        <v>123</v>
      </c>
      <c r="R3" s="1" t="s">
        <v>124</v>
      </c>
      <c r="S3" s="1" t="s">
        <v>125</v>
      </c>
      <c r="T3">
        <v>2260</v>
      </c>
      <c r="U3">
        <v>310</v>
      </c>
      <c r="V3" s="1" t="s">
        <v>101</v>
      </c>
      <c r="W3">
        <v>2008</v>
      </c>
      <c r="X3">
        <v>530.93</v>
      </c>
      <c r="Y3">
        <v>10618.6</v>
      </c>
      <c r="Z3">
        <v>0.29</v>
      </c>
      <c r="AA3">
        <v>0.27</v>
      </c>
      <c r="AB3" s="1" t="s">
        <v>101</v>
      </c>
      <c r="AC3">
        <v>2008</v>
      </c>
      <c r="AD3">
        <v>0.46</v>
      </c>
      <c r="AE3">
        <v>25</v>
      </c>
      <c r="AF3" s="1" t="s">
        <v>102</v>
      </c>
      <c r="AG3" s="1" t="s">
        <v>126</v>
      </c>
      <c r="AH3" s="1" t="s">
        <v>127</v>
      </c>
      <c r="AI3">
        <v>2</v>
      </c>
      <c r="AJ3" s="1" t="s">
        <v>128</v>
      </c>
      <c r="AK3" s="1" t="s">
        <v>93</v>
      </c>
      <c r="AL3" s="1" t="s">
        <v>129</v>
      </c>
      <c r="AM3" s="1" t="s">
        <v>130</v>
      </c>
      <c r="AN3" s="1" t="s">
        <v>131</v>
      </c>
      <c r="AO3" s="1" t="s">
        <v>132</v>
      </c>
      <c r="AP3" s="1" t="s">
        <v>93</v>
      </c>
      <c r="AQ3" s="1" t="s">
        <v>133</v>
      </c>
      <c r="AR3" s="1" t="s">
        <v>111</v>
      </c>
      <c r="AS3" s="1" t="s">
        <v>134</v>
      </c>
      <c r="AT3" s="1" t="s">
        <v>135</v>
      </c>
      <c r="AU3" s="1" t="s">
        <v>136</v>
      </c>
      <c r="AV3" s="1" t="s">
        <v>120</v>
      </c>
      <c r="AW3" s="1" t="s">
        <v>137</v>
      </c>
      <c r="AX3" s="1" t="s">
        <v>138</v>
      </c>
      <c r="AY3">
        <v>100</v>
      </c>
      <c r="AZ3">
        <v>38.1</v>
      </c>
      <c r="BA3" s="1" t="s">
        <v>92</v>
      </c>
      <c r="BB3" s="1" t="s">
        <v>92</v>
      </c>
      <c r="BC3" s="1" t="s">
        <v>113</v>
      </c>
      <c r="BD3" s="1" t="s">
        <v>139</v>
      </c>
      <c r="BE3">
        <v>7.5</v>
      </c>
      <c r="BF3" s="1" t="s">
        <v>140</v>
      </c>
      <c r="BG3" s="1" t="s">
        <v>92</v>
      </c>
      <c r="BH3" s="1" t="s">
        <v>92</v>
      </c>
      <c r="BI3" s="1" t="s">
        <v>141</v>
      </c>
      <c r="BJ3" s="1" t="s">
        <v>142</v>
      </c>
      <c r="BK3" s="1" t="s">
        <v>143</v>
      </c>
      <c r="BM3">
        <v>11232</v>
      </c>
      <c r="BN3">
        <v>293</v>
      </c>
      <c r="BO3">
        <v>393</v>
      </c>
      <c r="BP3" s="1" t="s">
        <v>144</v>
      </c>
      <c r="BQ3" s="1" t="s">
        <v>120</v>
      </c>
      <c r="BR3" s="1" t="s">
        <v>145</v>
      </c>
      <c r="BS3" s="1" t="s">
        <v>120</v>
      </c>
      <c r="BT3" s="1" t="s">
        <v>146</v>
      </c>
      <c r="BU3" s="1" t="s">
        <v>119</v>
      </c>
      <c r="BV3" s="1" t="s">
        <v>120</v>
      </c>
      <c r="BW3" s="1" t="s">
        <v>147</v>
      </c>
      <c r="BX3">
        <v>510120</v>
      </c>
      <c r="BY3" s="8">
        <f>BX14/6000/G14</f>
        <v/>
      </c>
      <c r="CE3">
        <v>817</v>
      </c>
      <c r="CF3">
        <v>144</v>
      </c>
      <c r="CG3">
        <v>156</v>
      </c>
      <c r="CH3">
        <v>12</v>
      </c>
      <c r="CI3">
        <v>624</v>
      </c>
      <c r="CJ3">
        <v>4</v>
      </c>
      <c r="CK3">
        <v>600</v>
      </c>
      <c r="CL3">
        <v>40</v>
      </c>
      <c r="CM3" s="1" t="s">
        <v>92</v>
      </c>
    </row>
    <row r="4">
      <c r="A4" s="1" t="s">
        <v>148</v>
      </c>
      <c r="B4" s="1" t="s">
        <v>92</v>
      </c>
      <c r="C4">
        <v>15</v>
      </c>
      <c r="D4" s="1" t="s">
        <v>93</v>
      </c>
      <c r="E4" s="1" t="s">
        <v>94</v>
      </c>
      <c r="F4" s="1" t="s">
        <v>95</v>
      </c>
      <c r="G4">
        <v>50</v>
      </c>
      <c r="H4">
        <v>158</v>
      </c>
      <c r="I4" s="4">
        <f>H16/(G16*365*24/1000)</f>
        <v/>
      </c>
      <c r="J4" s="1" t="s">
        <v>122</v>
      </c>
      <c r="M4" s="1" t="s">
        <v>92</v>
      </c>
      <c r="N4">
        <v>2007</v>
      </c>
      <c r="O4">
        <v>2009</v>
      </c>
      <c r="P4" s="1" t="s">
        <v>97</v>
      </c>
      <c r="Q4" s="1" t="s">
        <v>123</v>
      </c>
      <c r="R4" s="1" t="s">
        <v>124</v>
      </c>
      <c r="S4" s="1" t="s">
        <v>125</v>
      </c>
      <c r="T4">
        <v>2260</v>
      </c>
      <c r="U4">
        <v>300</v>
      </c>
      <c r="V4" s="1" t="s">
        <v>101</v>
      </c>
      <c r="W4">
        <v>2009</v>
      </c>
      <c r="X4">
        <v>483.29</v>
      </c>
      <c r="Y4">
        <v>9665.7</v>
      </c>
      <c r="Z4">
        <v>0.26</v>
      </c>
      <c r="AA4">
        <v>0.27</v>
      </c>
      <c r="AB4" s="1" t="s">
        <v>101</v>
      </c>
      <c r="AC4">
        <v>2009</v>
      </c>
      <c r="AD4">
        <v>0.43</v>
      </c>
      <c r="AE4">
        <v>25</v>
      </c>
      <c r="AF4" s="1" t="s">
        <v>102</v>
      </c>
      <c r="AG4" s="1" t="s">
        <v>126</v>
      </c>
      <c r="AH4" s="1" t="s">
        <v>149</v>
      </c>
      <c r="AI4">
        <v>2</v>
      </c>
      <c r="AJ4" s="1" t="s">
        <v>128</v>
      </c>
      <c r="AK4" s="1" t="s">
        <v>93</v>
      </c>
      <c r="AL4" s="1" t="s">
        <v>129</v>
      </c>
      <c r="AM4" s="1" t="s">
        <v>130</v>
      </c>
      <c r="AN4" s="1" t="s">
        <v>131</v>
      </c>
      <c r="AO4" s="1" t="s">
        <v>132</v>
      </c>
      <c r="AP4" s="1" t="s">
        <v>93</v>
      </c>
      <c r="AQ4" s="1" t="s">
        <v>133</v>
      </c>
      <c r="AR4" s="1" t="s">
        <v>111</v>
      </c>
      <c r="AS4" s="1" t="s">
        <v>134</v>
      </c>
      <c r="AT4" s="1" t="s">
        <v>135</v>
      </c>
      <c r="AU4" s="1" t="s">
        <v>136</v>
      </c>
      <c r="AV4" s="1" t="s">
        <v>120</v>
      </c>
      <c r="AW4" s="1" t="s">
        <v>137</v>
      </c>
      <c r="AX4" s="1" t="s">
        <v>138</v>
      </c>
      <c r="AY4">
        <v>100</v>
      </c>
      <c r="AZ4">
        <v>38.1</v>
      </c>
      <c r="BA4" s="1" t="s">
        <v>92</v>
      </c>
      <c r="BB4" s="1" t="s">
        <v>92</v>
      </c>
      <c r="BC4" s="1" t="s">
        <v>113</v>
      </c>
      <c r="BD4" s="1" t="s">
        <v>139</v>
      </c>
      <c r="BE4">
        <v>7.5</v>
      </c>
      <c r="BF4" s="1" t="s">
        <v>140</v>
      </c>
      <c r="BG4" s="1" t="s">
        <v>92</v>
      </c>
      <c r="BH4" s="1" t="s">
        <v>92</v>
      </c>
      <c r="BI4" s="1" t="s">
        <v>150</v>
      </c>
      <c r="BJ4" s="1" t="s">
        <v>120</v>
      </c>
      <c r="BK4" s="1" t="s">
        <v>92</v>
      </c>
      <c r="BM4">
        <v>11232</v>
      </c>
      <c r="BN4">
        <v>293</v>
      </c>
      <c r="BO4">
        <v>393</v>
      </c>
      <c r="BP4" s="1" t="s">
        <v>151</v>
      </c>
      <c r="BQ4" s="1" t="s">
        <v>120</v>
      </c>
      <c r="BR4" s="1" t="s">
        <v>145</v>
      </c>
      <c r="BS4" s="1" t="s">
        <v>120</v>
      </c>
      <c r="BT4" s="1" t="s">
        <v>146</v>
      </c>
      <c r="BU4" s="1" t="s">
        <v>119</v>
      </c>
      <c r="BV4" s="1" t="s">
        <v>120</v>
      </c>
      <c r="BW4" s="1" t="s">
        <v>147</v>
      </c>
      <c r="BX4">
        <v>510120</v>
      </c>
      <c r="BY4" s="8">
        <f>BX16/6000/G16</f>
        <v/>
      </c>
      <c r="CE4">
        <v>817</v>
      </c>
      <c r="CF4">
        <v>144</v>
      </c>
      <c r="CG4">
        <v>156</v>
      </c>
      <c r="CH4">
        <v>12</v>
      </c>
      <c r="CI4">
        <v>624</v>
      </c>
      <c r="CJ4">
        <v>4</v>
      </c>
      <c r="CK4">
        <v>600</v>
      </c>
      <c r="CL4">
        <v>40</v>
      </c>
      <c r="CM4" s="1" t="s">
        <v>92</v>
      </c>
    </row>
    <row r="5">
      <c r="A5" s="1" t="s">
        <v>152</v>
      </c>
      <c r="B5" s="1" t="s">
        <v>92</v>
      </c>
      <c r="C5">
        <v>17</v>
      </c>
      <c r="D5" s="1" t="s">
        <v>93</v>
      </c>
      <c r="E5" s="1" t="s">
        <v>94</v>
      </c>
      <c r="F5" s="1" t="s">
        <v>95</v>
      </c>
      <c r="G5">
        <v>50</v>
      </c>
      <c r="H5">
        <v>103</v>
      </c>
      <c r="I5" s="4">
        <f/>
        <v/>
      </c>
      <c r="J5" s="1" t="s">
        <v>122</v>
      </c>
      <c r="M5" s="1" t="s">
        <v>92</v>
      </c>
      <c r="N5">
        <v>2007</v>
      </c>
      <c r="O5">
        <v>2009</v>
      </c>
      <c r="P5" s="1" t="s">
        <v>153</v>
      </c>
      <c r="Q5" s="1" t="s">
        <v>154</v>
      </c>
      <c r="R5" s="1" t="s">
        <v>155</v>
      </c>
      <c r="S5" s="1" t="s">
        <v>156</v>
      </c>
      <c r="T5">
        <v>2042</v>
      </c>
      <c r="U5">
        <v>200</v>
      </c>
      <c r="V5" s="1" t="s">
        <v>101</v>
      </c>
      <c r="W5">
        <v>2009</v>
      </c>
      <c r="X5">
        <v>322.19</v>
      </c>
      <c r="Y5">
        <v>6443.8</v>
      </c>
      <c r="Z5">
        <v>0.27</v>
      </c>
      <c r="AA5">
        <v>0.27</v>
      </c>
      <c r="AB5" s="1" t="s">
        <v>101</v>
      </c>
      <c r="AC5">
        <v>2009</v>
      </c>
      <c r="AD5">
        <v>0.43</v>
      </c>
      <c r="AE5">
        <v>25</v>
      </c>
      <c r="AF5" s="1" t="s">
        <v>102</v>
      </c>
      <c r="AG5" s="1" t="s">
        <v>92</v>
      </c>
      <c r="AH5" s="1" t="s">
        <v>92</v>
      </c>
      <c r="AI5">
        <v>1.5</v>
      </c>
      <c r="AJ5" s="1" t="s">
        <v>157</v>
      </c>
      <c r="AK5" s="1" t="s">
        <v>93</v>
      </c>
      <c r="AL5" s="1" t="s">
        <v>158</v>
      </c>
      <c r="AM5" s="1" t="s">
        <v>159</v>
      </c>
      <c r="AN5" s="1" t="s">
        <v>160</v>
      </c>
      <c r="AO5" s="1" t="s">
        <v>159</v>
      </c>
      <c r="AP5" s="1" t="s">
        <v>93</v>
      </c>
      <c r="AQ5" s="1" t="s">
        <v>133</v>
      </c>
      <c r="AR5" s="1" t="s">
        <v>111</v>
      </c>
      <c r="AS5" s="1" t="s">
        <v>134</v>
      </c>
      <c r="AT5" s="1" t="s">
        <v>135</v>
      </c>
      <c r="AU5" s="1" t="s">
        <v>136</v>
      </c>
      <c r="AV5" s="1" t="s">
        <v>120</v>
      </c>
      <c r="AW5" s="1" t="s">
        <v>92</v>
      </c>
      <c r="AX5" s="1" t="s">
        <v>138</v>
      </c>
      <c r="AY5">
        <v>100</v>
      </c>
      <c r="AZ5">
        <v>38.9</v>
      </c>
      <c r="BA5" s="1" t="s">
        <v>92</v>
      </c>
      <c r="BB5" s="1" t="s">
        <v>92</v>
      </c>
      <c r="BC5" s="1" t="s">
        <v>113</v>
      </c>
      <c r="BD5" s="1" t="s">
        <v>92</v>
      </c>
      <c r="BF5" s="1" t="s">
        <v>92</v>
      </c>
      <c r="BG5" s="1" t="s">
        <v>92</v>
      </c>
      <c r="BH5" s="1" t="s">
        <v>92</v>
      </c>
      <c r="BI5" s="1" t="s">
        <v>161</v>
      </c>
      <c r="BJ5" s="1" t="s">
        <v>142</v>
      </c>
      <c r="BK5" s="1" t="s">
        <v>92</v>
      </c>
      <c r="BM5">
        <v>6336</v>
      </c>
      <c r="BN5">
        <v>304</v>
      </c>
      <c r="BO5">
        <v>391</v>
      </c>
      <c r="BP5" s="1" t="s">
        <v>157</v>
      </c>
      <c r="BQ5" s="1" t="s">
        <v>93</v>
      </c>
      <c r="BR5" s="1" t="s">
        <v>157</v>
      </c>
      <c r="BS5" s="1" t="s">
        <v>93</v>
      </c>
      <c r="BT5" s="1" t="s">
        <v>162</v>
      </c>
      <c r="BU5" s="1" t="s">
        <v>163</v>
      </c>
      <c r="BV5" s="1" t="s">
        <v>164</v>
      </c>
      <c r="BW5" s="1" t="s">
        <v>92</v>
      </c>
      <c r="BX5">
        <v>287760</v>
      </c>
      <c r="BY5" s="8">
        <f>BX18/6000/G18</f>
        <v/>
      </c>
      <c r="CG5">
        <v>88</v>
      </c>
      <c r="CH5">
        <v>12</v>
      </c>
      <c r="CI5">
        <v>352</v>
      </c>
      <c r="CJ5">
        <v>4</v>
      </c>
      <c r="CL5">
        <v>60</v>
      </c>
      <c r="CM5" s="1" t="s">
        <v>92</v>
      </c>
    </row>
    <row r="6">
      <c r="A6" s="1" t="s">
        <v>165</v>
      </c>
      <c r="B6" s="1" t="s">
        <v>92</v>
      </c>
      <c r="C6">
        <v>18</v>
      </c>
      <c r="D6" s="1" t="s">
        <v>93</v>
      </c>
      <c r="E6" s="1" t="s">
        <v>94</v>
      </c>
      <c r="F6" s="1" t="s">
        <v>95</v>
      </c>
      <c r="G6">
        <v>50</v>
      </c>
      <c r="H6">
        <v>105</v>
      </c>
      <c r="I6" s="4">
        <f/>
        <v/>
      </c>
      <c r="J6" s="1" t="s">
        <v>122</v>
      </c>
      <c r="M6" s="1" t="s">
        <v>92</v>
      </c>
      <c r="N6">
        <v>2007</v>
      </c>
      <c r="O6">
        <v>2009</v>
      </c>
      <c r="P6" s="1" t="s">
        <v>166</v>
      </c>
      <c r="Q6" s="1" t="s">
        <v>167</v>
      </c>
      <c r="R6" s="1" t="s">
        <v>168</v>
      </c>
      <c r="S6" s="1" t="s">
        <v>169</v>
      </c>
      <c r="T6">
        <v>2085</v>
      </c>
      <c r="U6">
        <v>230</v>
      </c>
      <c r="V6" s="1" t="s">
        <v>101</v>
      </c>
      <c r="W6">
        <v>2009</v>
      </c>
      <c r="X6">
        <v>370.52</v>
      </c>
      <c r="Y6">
        <v>7410.4</v>
      </c>
      <c r="Z6">
        <v>0.3</v>
      </c>
      <c r="AA6">
        <v>0.27</v>
      </c>
      <c r="AB6" s="1" t="s">
        <v>101</v>
      </c>
      <c r="AC6">
        <v>2009</v>
      </c>
      <c r="AD6">
        <v>0.43</v>
      </c>
      <c r="AE6">
        <v>25</v>
      </c>
      <c r="AF6" s="1" t="s">
        <v>102</v>
      </c>
      <c r="AG6" s="1" t="s">
        <v>126</v>
      </c>
      <c r="AH6" s="1" t="s">
        <v>92</v>
      </c>
      <c r="AI6">
        <v>1.35</v>
      </c>
      <c r="AJ6" s="1" t="s">
        <v>170</v>
      </c>
      <c r="AK6" s="1" t="s">
        <v>93</v>
      </c>
      <c r="AL6" s="1" t="s">
        <v>170</v>
      </c>
      <c r="AM6" s="1" t="s">
        <v>171</v>
      </c>
      <c r="AN6" s="1" t="s">
        <v>92</v>
      </c>
      <c r="AO6" s="1" t="s">
        <v>172</v>
      </c>
      <c r="AP6" s="1" t="s">
        <v>93</v>
      </c>
      <c r="AQ6" s="1" t="s">
        <v>92</v>
      </c>
      <c r="AR6" s="1" t="s">
        <v>92</v>
      </c>
      <c r="AS6" s="1" t="s">
        <v>173</v>
      </c>
      <c r="AT6" s="1" t="s">
        <v>135</v>
      </c>
      <c r="AU6" s="1" t="s">
        <v>136</v>
      </c>
      <c r="AV6" s="1" t="s">
        <v>120</v>
      </c>
      <c r="AW6" s="1" t="s">
        <v>137</v>
      </c>
      <c r="AX6" s="1" t="s">
        <v>138</v>
      </c>
      <c r="AY6">
        <v>100</v>
      </c>
      <c r="BA6" s="1" t="s">
        <v>92</v>
      </c>
      <c r="BB6" s="1" t="s">
        <v>92</v>
      </c>
      <c r="BC6" s="1" t="s">
        <v>113</v>
      </c>
      <c r="BD6" s="1" t="s">
        <v>92</v>
      </c>
      <c r="BF6" s="1" t="s">
        <v>92</v>
      </c>
      <c r="BG6" s="1" t="s">
        <v>92</v>
      </c>
      <c r="BH6" s="1" t="s">
        <v>92</v>
      </c>
      <c r="BI6" s="1" t="s">
        <v>150</v>
      </c>
      <c r="BJ6" s="1" t="s">
        <v>120</v>
      </c>
      <c r="BK6" s="1" t="s">
        <v>92</v>
      </c>
      <c r="BN6">
        <v>293</v>
      </c>
      <c r="BO6">
        <v>393</v>
      </c>
      <c r="BP6" s="1" t="s">
        <v>170</v>
      </c>
      <c r="BQ6" s="1" t="s">
        <v>93</v>
      </c>
      <c r="BR6" s="1" t="s">
        <v>174</v>
      </c>
      <c r="BS6" s="1" t="s">
        <v>111</v>
      </c>
      <c r="BT6" s="1" t="s">
        <v>175</v>
      </c>
      <c r="BU6" s="1" t="s">
        <v>119</v>
      </c>
      <c r="BV6" s="1" t="s">
        <v>120</v>
      </c>
      <c r="BW6" s="1" t="s">
        <v>176</v>
      </c>
      <c r="BX6">
        <v>352854</v>
      </c>
      <c r="BY6" s="8">
        <f>BX19/6000/G19</f>
        <v/>
      </c>
      <c r="CG6">
        <v>96</v>
      </c>
      <c r="CI6">
        <v>768</v>
      </c>
      <c r="CJ6">
        <v>8</v>
      </c>
      <c r="CK6">
        <v>350</v>
      </c>
      <c r="CL6">
        <v>31</v>
      </c>
      <c r="CM6" s="1" t="s">
        <v>92</v>
      </c>
    </row>
    <row r="7">
      <c r="A7" s="1" t="s">
        <v>177</v>
      </c>
      <c r="B7" s="1" t="s">
        <v>92</v>
      </c>
      <c r="C7">
        <v>19</v>
      </c>
      <c r="D7" s="1" t="s">
        <v>93</v>
      </c>
      <c r="E7" s="1" t="s">
        <v>94</v>
      </c>
      <c r="F7" s="1" t="s">
        <v>95</v>
      </c>
      <c r="G7">
        <v>20</v>
      </c>
      <c r="H7">
        <v>48</v>
      </c>
      <c r="I7" s="4">
        <f/>
        <v/>
      </c>
      <c r="J7" s="1" t="s">
        <v>96</v>
      </c>
      <c r="M7" s="1" t="s">
        <v>92</v>
      </c>
      <c r="N7">
        <v>2006</v>
      </c>
      <c r="O7">
        <v>2009</v>
      </c>
      <c r="P7" s="1" t="s">
        <v>97</v>
      </c>
      <c r="Q7" s="1" t="s">
        <v>98</v>
      </c>
      <c r="R7" s="1" t="s">
        <v>99</v>
      </c>
      <c r="S7" s="1" t="s">
        <v>100</v>
      </c>
      <c r="T7">
        <v>2076</v>
      </c>
      <c r="U7">
        <v>90</v>
      </c>
      <c r="V7" s="1" t="s">
        <v>101</v>
      </c>
      <c r="W7">
        <v>2009</v>
      </c>
      <c r="X7">
        <v>144.99</v>
      </c>
      <c r="Y7">
        <v>7249.3</v>
      </c>
      <c r="Z7">
        <v>0.26</v>
      </c>
      <c r="AA7">
        <v>0.27</v>
      </c>
      <c r="AB7" s="1" t="s">
        <v>101</v>
      </c>
      <c r="AC7">
        <v>2009</v>
      </c>
      <c r="AD7">
        <v>0.43</v>
      </c>
      <c r="AE7">
        <v>25</v>
      </c>
      <c r="AF7" s="1" t="s">
        <v>102</v>
      </c>
      <c r="AG7" s="1" t="s">
        <v>103</v>
      </c>
      <c r="AH7" s="1" t="s">
        <v>178</v>
      </c>
      <c r="AI7">
        <v>0.8</v>
      </c>
      <c r="AJ7" s="1" t="s">
        <v>105</v>
      </c>
      <c r="AK7" s="1" t="s">
        <v>93</v>
      </c>
      <c r="AL7" s="1" t="s">
        <v>105</v>
      </c>
      <c r="AM7" s="1" t="s">
        <v>106</v>
      </c>
      <c r="AN7" s="1" t="s">
        <v>107</v>
      </c>
      <c r="AO7" s="1" t="s">
        <v>108</v>
      </c>
      <c r="AP7" s="1" t="s">
        <v>93</v>
      </c>
      <c r="AQ7" s="1" t="s">
        <v>92</v>
      </c>
      <c r="AR7" s="1" t="s">
        <v>92</v>
      </c>
      <c r="AS7" s="1" t="s">
        <v>109</v>
      </c>
      <c r="AT7" s="1" t="s">
        <v>109</v>
      </c>
      <c r="AU7" s="1" t="s">
        <v>179</v>
      </c>
      <c r="AV7" s="1" t="s">
        <v>180</v>
      </c>
      <c r="AW7" s="1" t="s">
        <v>92</v>
      </c>
      <c r="AX7" s="1" t="s">
        <v>92</v>
      </c>
      <c r="AY7">
        <v>45</v>
      </c>
      <c r="BA7" s="1" t="s">
        <v>92</v>
      </c>
      <c r="BB7" s="1" t="s">
        <v>92</v>
      </c>
      <c r="BC7" s="1" t="s">
        <v>113</v>
      </c>
      <c r="BD7" s="1" t="s">
        <v>114</v>
      </c>
      <c r="BE7">
        <v>1</v>
      </c>
      <c r="BF7" s="1" t="s">
        <v>92</v>
      </c>
      <c r="BG7" s="1" t="s">
        <v>92</v>
      </c>
      <c r="BH7" s="1" t="s">
        <v>92</v>
      </c>
      <c r="BI7" s="1" t="s">
        <v>115</v>
      </c>
      <c r="BJ7" s="1" t="s">
        <v>116</v>
      </c>
      <c r="BK7" s="1" t="s">
        <v>117</v>
      </c>
      <c r="BL7">
        <v>165</v>
      </c>
      <c r="BP7" s="1" t="s">
        <v>105</v>
      </c>
      <c r="BQ7" s="1" t="s">
        <v>93</v>
      </c>
      <c r="BR7" s="1" t="s">
        <v>105</v>
      </c>
      <c r="BS7" s="1" t="s">
        <v>93</v>
      </c>
      <c r="BT7" s="1" t="s">
        <v>118</v>
      </c>
      <c r="BU7" s="1" t="s">
        <v>92</v>
      </c>
      <c r="BV7" s="1" t="s">
        <v>92</v>
      </c>
      <c r="BW7" s="1" t="s">
        <v>92</v>
      </c>
      <c r="BX7">
        <v>150000</v>
      </c>
      <c r="BY7" s="8">
        <f>BX20/6000/G20</f>
        <v/>
      </c>
      <c r="BZ7">
        <v>1255</v>
      </c>
      <c r="CA7">
        <v>120</v>
      </c>
      <c r="CM7" s="1" t="s">
        <v>92</v>
      </c>
    </row>
    <row r="8">
      <c r="A8" s="1" t="s">
        <v>181</v>
      </c>
      <c r="B8" s="1" t="s">
        <v>92</v>
      </c>
      <c r="C8">
        <v>20</v>
      </c>
      <c r="D8" s="1" t="s">
        <v>93</v>
      </c>
      <c r="E8" s="1" t="s">
        <v>94</v>
      </c>
      <c r="F8" s="1" t="s">
        <v>95</v>
      </c>
      <c r="G8">
        <v>1.4</v>
      </c>
      <c r="H8">
        <v>2</v>
      </c>
      <c r="I8" s="4">
        <f/>
        <v/>
      </c>
      <c r="J8" s="1" t="s">
        <v>182</v>
      </c>
      <c r="M8" s="1" t="s">
        <v>92</v>
      </c>
      <c r="N8">
        <v>2008</v>
      </c>
      <c r="O8">
        <v>2009</v>
      </c>
      <c r="P8" s="1" t="s">
        <v>183</v>
      </c>
      <c r="Q8" s="1" t="s">
        <v>184</v>
      </c>
      <c r="R8" s="1" t="s">
        <v>185</v>
      </c>
      <c r="S8" s="1" t="s">
        <v>186</v>
      </c>
      <c r="V8" s="1" t="s">
        <v>92</v>
      </c>
      <c r="AA8">
        <v>0.27</v>
      </c>
      <c r="AB8" s="1" t="s">
        <v>101</v>
      </c>
      <c r="AC8">
        <v>2009</v>
      </c>
      <c r="AD8">
        <v>0.43</v>
      </c>
      <c r="AE8">
        <v>25</v>
      </c>
      <c r="AF8" s="1" t="s">
        <v>92</v>
      </c>
      <c r="AG8" s="1" t="s">
        <v>187</v>
      </c>
      <c r="AH8" s="1" t="s">
        <v>92</v>
      </c>
      <c r="AI8">
        <v>0.05</v>
      </c>
      <c r="AJ8" s="1" t="s">
        <v>188</v>
      </c>
      <c r="AK8" s="1" t="s">
        <v>189</v>
      </c>
      <c r="AL8" s="1" t="s">
        <v>190</v>
      </c>
      <c r="AM8" s="1" t="s">
        <v>191</v>
      </c>
      <c r="AN8" s="1" t="s">
        <v>192</v>
      </c>
      <c r="AO8" s="1" t="s">
        <v>190</v>
      </c>
      <c r="AP8" s="1" t="s">
        <v>93</v>
      </c>
      <c r="AQ8" s="1" t="s">
        <v>92</v>
      </c>
      <c r="AR8" s="1" t="s">
        <v>92</v>
      </c>
      <c r="AS8" s="1" t="s">
        <v>109</v>
      </c>
      <c r="AT8" s="1" t="s">
        <v>109</v>
      </c>
      <c r="AU8" s="1" t="s">
        <v>193</v>
      </c>
      <c r="AV8" s="1" t="s">
        <v>120</v>
      </c>
      <c r="AW8" s="1" t="s">
        <v>92</v>
      </c>
      <c r="AX8" s="1" t="s">
        <v>92</v>
      </c>
      <c r="AY8">
        <v>55</v>
      </c>
      <c r="BA8" s="1" t="s">
        <v>92</v>
      </c>
      <c r="BB8" s="1" t="s">
        <v>92</v>
      </c>
      <c r="BC8" s="1" t="s">
        <v>194</v>
      </c>
      <c r="BD8" s="1" t="s">
        <v>195</v>
      </c>
      <c r="BF8" s="1" t="s">
        <v>196</v>
      </c>
      <c r="BG8" s="1" t="s">
        <v>92</v>
      </c>
      <c r="BH8" s="1" t="s">
        <v>92</v>
      </c>
      <c r="BI8" s="1" t="s">
        <v>197</v>
      </c>
      <c r="BJ8" s="1" t="s">
        <v>93</v>
      </c>
      <c r="BK8" s="1" t="s">
        <v>198</v>
      </c>
      <c r="BN8">
        <v>140</v>
      </c>
      <c r="BO8">
        <v>270</v>
      </c>
      <c r="BP8" s="1" t="s">
        <v>92</v>
      </c>
      <c r="BQ8" s="1" t="s">
        <v>92</v>
      </c>
      <c r="BR8" s="1" t="s">
        <v>92</v>
      </c>
      <c r="BS8" s="1" t="s">
        <v>92</v>
      </c>
      <c r="BT8" s="1" t="s">
        <v>92</v>
      </c>
      <c r="BU8" s="1" t="s">
        <v>190</v>
      </c>
      <c r="BV8" s="1" t="s">
        <v>93</v>
      </c>
      <c r="BW8" s="1" t="s">
        <v>92</v>
      </c>
      <c r="CB8">
        <v>16</v>
      </c>
      <c r="CC8">
        <v>2</v>
      </c>
      <c r="CD8">
        <v>806</v>
      </c>
      <c r="CL8">
        <v>1</v>
      </c>
      <c r="CM8" s="1" t="s">
        <v>92</v>
      </c>
    </row>
    <row r="9">
      <c r="A9" s="1" t="s">
        <v>199</v>
      </c>
      <c r="B9" s="1" t="s">
        <v>92</v>
      </c>
      <c r="C9">
        <v>21</v>
      </c>
      <c r="D9" s="1" t="s">
        <v>93</v>
      </c>
      <c r="E9" s="1" t="s">
        <v>94</v>
      </c>
      <c r="F9" s="1" t="s">
        <v>95</v>
      </c>
      <c r="G9">
        <v>50</v>
      </c>
      <c r="H9">
        <v>113.52</v>
      </c>
      <c r="I9" s="4">
        <f/>
        <v/>
      </c>
      <c r="J9" s="1" t="s">
        <v>122</v>
      </c>
      <c r="M9" s="1" t="s">
        <v>92</v>
      </c>
      <c r="N9">
        <v>2007</v>
      </c>
      <c r="O9">
        <v>2009</v>
      </c>
      <c r="P9" s="1" t="s">
        <v>97</v>
      </c>
      <c r="Q9" s="1" t="s">
        <v>98</v>
      </c>
      <c r="R9" s="1" t="s">
        <v>99</v>
      </c>
      <c r="S9" s="1" t="s">
        <v>100</v>
      </c>
      <c r="T9">
        <v>2076</v>
      </c>
      <c r="U9">
        <v>250</v>
      </c>
      <c r="V9" s="1" t="s">
        <v>101</v>
      </c>
      <c r="W9">
        <v>2009</v>
      </c>
      <c r="X9">
        <v>402.74</v>
      </c>
      <c r="Y9">
        <v>8054.8</v>
      </c>
      <c r="Z9">
        <v>0.3</v>
      </c>
      <c r="AA9">
        <v>0.27</v>
      </c>
      <c r="AB9" s="1" t="s">
        <v>101</v>
      </c>
      <c r="AC9">
        <v>2009</v>
      </c>
      <c r="AD9">
        <v>0.43</v>
      </c>
      <c r="AE9">
        <v>25</v>
      </c>
      <c r="AF9" s="1" t="s">
        <v>102</v>
      </c>
      <c r="AG9" s="1" t="s">
        <v>103</v>
      </c>
      <c r="AH9" s="1" t="s">
        <v>200</v>
      </c>
      <c r="AI9">
        <v>1.15</v>
      </c>
      <c r="AJ9" s="1" t="s">
        <v>105</v>
      </c>
      <c r="AK9" s="1" t="s">
        <v>93</v>
      </c>
      <c r="AL9" s="1" t="s">
        <v>105</v>
      </c>
      <c r="AM9" s="1" t="s">
        <v>105</v>
      </c>
      <c r="AN9" s="1" t="s">
        <v>201</v>
      </c>
      <c r="AO9" s="1" t="s">
        <v>108</v>
      </c>
      <c r="AP9" s="1" t="s">
        <v>93</v>
      </c>
      <c r="AQ9" s="1" t="s">
        <v>92</v>
      </c>
      <c r="AR9" s="1" t="s">
        <v>92</v>
      </c>
      <c r="AS9" s="1" t="s">
        <v>202</v>
      </c>
      <c r="AT9" s="1" t="s">
        <v>135</v>
      </c>
      <c r="AU9" s="1" t="s">
        <v>92</v>
      </c>
      <c r="AV9" s="1" t="s">
        <v>92</v>
      </c>
      <c r="AW9" s="1" t="s">
        <v>92</v>
      </c>
      <c r="AX9" s="1" t="s">
        <v>138</v>
      </c>
      <c r="AY9">
        <v>100</v>
      </c>
      <c r="BA9" s="1" t="s">
        <v>92</v>
      </c>
      <c r="BB9" s="1" t="s">
        <v>92</v>
      </c>
      <c r="BC9" s="1" t="s">
        <v>113</v>
      </c>
      <c r="BD9" s="1" t="s">
        <v>92</v>
      </c>
      <c r="BF9" s="1" t="s">
        <v>92</v>
      </c>
      <c r="BG9" s="1" t="s">
        <v>92</v>
      </c>
      <c r="BH9" s="1" t="s">
        <v>92</v>
      </c>
      <c r="BI9" s="1" t="s">
        <v>150</v>
      </c>
      <c r="BJ9" s="1" t="s">
        <v>120</v>
      </c>
      <c r="BK9" s="1" t="s">
        <v>92</v>
      </c>
      <c r="BM9">
        <v>12960</v>
      </c>
      <c r="BO9">
        <v>393</v>
      </c>
      <c r="BP9" s="1" t="s">
        <v>105</v>
      </c>
      <c r="BQ9" s="1" t="s">
        <v>93</v>
      </c>
      <c r="BR9" s="1" t="s">
        <v>105</v>
      </c>
      <c r="BS9" s="1" t="s">
        <v>93</v>
      </c>
      <c r="BT9" s="1" t="s">
        <v>203</v>
      </c>
      <c r="BU9" s="1" t="s">
        <v>204</v>
      </c>
      <c r="BV9" s="1" t="s">
        <v>93</v>
      </c>
      <c r="BW9" s="1" t="s">
        <v>92</v>
      </c>
      <c r="BX9">
        <v>300000</v>
      </c>
      <c r="BY9" s="8">
        <f>BX22/6000/G22</f>
        <v/>
      </c>
      <c r="CE9">
        <v>833</v>
      </c>
      <c r="CF9">
        <v>150</v>
      </c>
      <c r="CG9">
        <v>90</v>
      </c>
      <c r="CI9">
        <v>360</v>
      </c>
      <c r="CJ9">
        <v>4</v>
      </c>
      <c r="CM9" s="1" t="s">
        <v>92</v>
      </c>
    </row>
    <row r="10">
      <c r="A10" s="1" t="s">
        <v>205</v>
      </c>
      <c r="B10" s="1" t="s">
        <v>92</v>
      </c>
      <c r="C10">
        <v>22</v>
      </c>
      <c r="D10" s="1" t="s">
        <v>93</v>
      </c>
      <c r="E10" s="1" t="s">
        <v>94</v>
      </c>
      <c r="F10" s="1" t="s">
        <v>95</v>
      </c>
      <c r="G10">
        <v>50</v>
      </c>
      <c r="H10">
        <v>113.52</v>
      </c>
      <c r="I10" s="4">
        <f/>
        <v/>
      </c>
      <c r="J10" s="1" t="s">
        <v>122</v>
      </c>
      <c r="M10" s="1" t="s">
        <v>92</v>
      </c>
      <c r="N10">
        <v>2007</v>
      </c>
      <c r="O10">
        <v>2009</v>
      </c>
      <c r="P10" s="1" t="s">
        <v>97</v>
      </c>
      <c r="Q10" s="1" t="s">
        <v>98</v>
      </c>
      <c r="R10" s="1" t="s">
        <v>99</v>
      </c>
      <c r="S10" s="1" t="s">
        <v>100</v>
      </c>
      <c r="T10">
        <v>2076</v>
      </c>
      <c r="U10">
        <v>250</v>
      </c>
      <c r="V10" s="1" t="s">
        <v>101</v>
      </c>
      <c r="W10">
        <v>2009</v>
      </c>
      <c r="X10">
        <v>402.74</v>
      </c>
      <c r="Y10">
        <v>8054.8</v>
      </c>
      <c r="Z10">
        <v>0.3</v>
      </c>
      <c r="AA10">
        <v>0.27</v>
      </c>
      <c r="AB10" s="1" t="s">
        <v>101</v>
      </c>
      <c r="AC10">
        <v>2009</v>
      </c>
      <c r="AD10">
        <v>0.43</v>
      </c>
      <c r="AE10">
        <v>25</v>
      </c>
      <c r="AF10" s="1" t="s">
        <v>102</v>
      </c>
      <c r="AG10" s="1" t="s">
        <v>103</v>
      </c>
      <c r="AH10" s="1" t="s">
        <v>200</v>
      </c>
      <c r="AI10">
        <v>1.15</v>
      </c>
      <c r="AJ10" s="1" t="s">
        <v>105</v>
      </c>
      <c r="AK10" s="1" t="s">
        <v>93</v>
      </c>
      <c r="AL10" s="1" t="s">
        <v>105</v>
      </c>
      <c r="AM10" s="1" t="s">
        <v>105</v>
      </c>
      <c r="AN10" s="1" t="s">
        <v>201</v>
      </c>
      <c r="AO10" s="1" t="s">
        <v>108</v>
      </c>
      <c r="AP10" s="1" t="s">
        <v>93</v>
      </c>
      <c r="AQ10" s="1" t="s">
        <v>92</v>
      </c>
      <c r="AR10" s="1" t="s">
        <v>92</v>
      </c>
      <c r="AS10" s="1" t="s">
        <v>202</v>
      </c>
      <c r="AT10" s="1" t="s">
        <v>135</v>
      </c>
      <c r="AU10" s="1" t="s">
        <v>92</v>
      </c>
      <c r="AV10" s="1" t="s">
        <v>92</v>
      </c>
      <c r="AW10" s="1" t="s">
        <v>92</v>
      </c>
      <c r="AX10" s="1" t="s">
        <v>138</v>
      </c>
      <c r="AY10">
        <v>100</v>
      </c>
      <c r="BA10" s="1" t="s">
        <v>92</v>
      </c>
      <c r="BB10" s="1" t="s">
        <v>92</v>
      </c>
      <c r="BC10" s="1" t="s">
        <v>113</v>
      </c>
      <c r="BD10" s="1" t="s">
        <v>92</v>
      </c>
      <c r="BF10" s="1" t="s">
        <v>92</v>
      </c>
      <c r="BG10" s="1" t="s">
        <v>92</v>
      </c>
      <c r="BH10" s="1" t="s">
        <v>92</v>
      </c>
      <c r="BI10" s="1" t="s">
        <v>150</v>
      </c>
      <c r="BJ10" s="1" t="s">
        <v>120</v>
      </c>
      <c r="BK10" s="1" t="s">
        <v>92</v>
      </c>
      <c r="BM10">
        <v>12960</v>
      </c>
      <c r="BO10">
        <v>393</v>
      </c>
      <c r="BP10" s="1" t="s">
        <v>105</v>
      </c>
      <c r="BQ10" s="1" t="s">
        <v>93</v>
      </c>
      <c r="BR10" s="1" t="s">
        <v>105</v>
      </c>
      <c r="BS10" s="1" t="s">
        <v>93</v>
      </c>
      <c r="BT10" s="1" t="s">
        <v>203</v>
      </c>
      <c r="BU10" s="1" t="s">
        <v>204</v>
      </c>
      <c r="BV10" s="1" t="s">
        <v>93</v>
      </c>
      <c r="BW10" s="1" t="s">
        <v>92</v>
      </c>
      <c r="BX10">
        <v>300000</v>
      </c>
      <c r="BY10" s="8">
        <f>BX23/6000/G23</f>
        <v/>
      </c>
      <c r="CE10">
        <v>833</v>
      </c>
      <c r="CF10">
        <v>150</v>
      </c>
      <c r="CG10">
        <v>90</v>
      </c>
      <c r="CI10">
        <v>360</v>
      </c>
      <c r="CJ10">
        <v>4</v>
      </c>
      <c r="CM10" s="1" t="s">
        <v>92</v>
      </c>
    </row>
    <row r="11">
      <c r="A11" s="1" t="s">
        <v>206</v>
      </c>
      <c r="B11" s="1" t="s">
        <v>92</v>
      </c>
      <c r="C11">
        <v>23</v>
      </c>
      <c r="D11" s="1" t="s">
        <v>93</v>
      </c>
      <c r="E11" s="1" t="s">
        <v>94</v>
      </c>
      <c r="F11" s="1" t="s">
        <v>95</v>
      </c>
      <c r="G11">
        <v>50</v>
      </c>
      <c r="H11">
        <v>113.52</v>
      </c>
      <c r="I11" s="4">
        <f/>
        <v/>
      </c>
      <c r="J11" s="1" t="s">
        <v>122</v>
      </c>
      <c r="M11" s="1" t="s">
        <v>92</v>
      </c>
      <c r="N11">
        <v>2008</v>
      </c>
      <c r="O11">
        <v>2009</v>
      </c>
      <c r="P11" s="1" t="s">
        <v>97</v>
      </c>
      <c r="Q11" s="1" t="s">
        <v>98</v>
      </c>
      <c r="R11" s="1" t="s">
        <v>99</v>
      </c>
      <c r="S11" s="1" t="s">
        <v>100</v>
      </c>
      <c r="T11">
        <v>2076</v>
      </c>
      <c r="U11">
        <v>210</v>
      </c>
      <c r="V11" s="1" t="s">
        <v>101</v>
      </c>
      <c r="W11">
        <v>2009</v>
      </c>
      <c r="X11">
        <v>338.3</v>
      </c>
      <c r="Y11">
        <v>6766</v>
      </c>
      <c r="Z11">
        <v>0.26</v>
      </c>
      <c r="AA11">
        <v>0.27</v>
      </c>
      <c r="AB11" s="1" t="s">
        <v>101</v>
      </c>
      <c r="AC11">
        <v>2009</v>
      </c>
      <c r="AD11">
        <v>0.43</v>
      </c>
      <c r="AE11">
        <v>25</v>
      </c>
      <c r="AF11" s="1" t="s">
        <v>102</v>
      </c>
      <c r="AG11" s="1" t="s">
        <v>103</v>
      </c>
      <c r="AH11" s="1" t="s">
        <v>92</v>
      </c>
      <c r="AI11">
        <v>1.15</v>
      </c>
      <c r="AJ11" s="1" t="s">
        <v>105</v>
      </c>
      <c r="AK11" s="1" t="s">
        <v>93</v>
      </c>
      <c r="AL11" s="1" t="s">
        <v>105</v>
      </c>
      <c r="AM11" s="1" t="s">
        <v>105</v>
      </c>
      <c r="AN11" s="1" t="s">
        <v>201</v>
      </c>
      <c r="AO11" s="1" t="s">
        <v>108</v>
      </c>
      <c r="AP11" s="1" t="s">
        <v>93</v>
      </c>
      <c r="AQ11" s="1" t="s">
        <v>92</v>
      </c>
      <c r="AR11" s="1" t="s">
        <v>92</v>
      </c>
      <c r="AS11" s="1" t="s">
        <v>202</v>
      </c>
      <c r="AT11" s="1" t="s">
        <v>135</v>
      </c>
      <c r="AU11" s="1" t="s">
        <v>92</v>
      </c>
      <c r="AV11" s="1" t="s">
        <v>92</v>
      </c>
      <c r="AW11" s="1" t="s">
        <v>92</v>
      </c>
      <c r="AX11" s="1" t="s">
        <v>138</v>
      </c>
      <c r="AY11">
        <v>100</v>
      </c>
      <c r="BA11" s="1" t="s">
        <v>92</v>
      </c>
      <c r="BB11" s="1" t="s">
        <v>92</v>
      </c>
      <c r="BC11" s="1" t="s">
        <v>113</v>
      </c>
      <c r="BD11" s="1" t="s">
        <v>92</v>
      </c>
      <c r="BF11" s="1" t="s">
        <v>92</v>
      </c>
      <c r="BG11" s="1" t="s">
        <v>92</v>
      </c>
      <c r="BH11" s="1" t="s">
        <v>92</v>
      </c>
      <c r="BI11" s="1" t="s">
        <v>150</v>
      </c>
      <c r="BJ11" s="1" t="s">
        <v>120</v>
      </c>
      <c r="BK11" s="1" t="s">
        <v>92</v>
      </c>
      <c r="BM11">
        <v>12960</v>
      </c>
      <c r="BO11">
        <v>393</v>
      </c>
      <c r="BP11" s="1" t="s">
        <v>105</v>
      </c>
      <c r="BQ11" s="1" t="s">
        <v>93</v>
      </c>
      <c r="BR11" s="1" t="s">
        <v>105</v>
      </c>
      <c r="BS11" s="1" t="s">
        <v>93</v>
      </c>
      <c r="BT11" s="1" t="s">
        <v>203</v>
      </c>
      <c r="BU11" s="1" t="s">
        <v>204</v>
      </c>
      <c r="BV11" s="1" t="s">
        <v>93</v>
      </c>
      <c r="BW11" s="1" t="s">
        <v>92</v>
      </c>
      <c r="BX11">
        <v>300000</v>
      </c>
      <c r="BY11" s="8">
        <f>BX24/6000/G24</f>
        <v/>
      </c>
      <c r="CE11">
        <v>833</v>
      </c>
      <c r="CF11">
        <v>150</v>
      </c>
      <c r="CG11">
        <v>90</v>
      </c>
      <c r="CI11">
        <v>360</v>
      </c>
      <c r="CJ11">
        <v>4</v>
      </c>
      <c r="CM11" s="1" t="s">
        <v>92</v>
      </c>
    </row>
    <row r="12">
      <c r="A12" s="1" t="s">
        <v>207</v>
      </c>
      <c r="B12" s="1" t="s">
        <v>92</v>
      </c>
      <c r="C12">
        <v>25</v>
      </c>
      <c r="D12" s="1" t="s">
        <v>93</v>
      </c>
      <c r="E12" s="1" t="s">
        <v>94</v>
      </c>
      <c r="F12" s="1" t="s">
        <v>95</v>
      </c>
      <c r="G12">
        <v>50</v>
      </c>
      <c r="H12">
        <v>158</v>
      </c>
      <c r="I12" s="4">
        <f/>
        <v/>
      </c>
      <c r="J12" s="1" t="s">
        <v>122</v>
      </c>
      <c r="M12" s="1" t="s">
        <v>92</v>
      </c>
      <c r="N12">
        <v>2009</v>
      </c>
      <c r="O12">
        <v>2010</v>
      </c>
      <c r="P12" s="1" t="s">
        <v>166</v>
      </c>
      <c r="Q12" s="1" t="s">
        <v>167</v>
      </c>
      <c r="R12" s="1" t="s">
        <v>208</v>
      </c>
      <c r="S12" s="1" t="s">
        <v>209</v>
      </c>
      <c r="T12">
        <v>2096</v>
      </c>
      <c r="U12">
        <v>300</v>
      </c>
      <c r="V12" s="1" t="s">
        <v>101</v>
      </c>
      <c r="W12">
        <v>2010</v>
      </c>
      <c r="X12">
        <v>454.48</v>
      </c>
      <c r="Y12">
        <v>9089.6</v>
      </c>
      <c r="Z12">
        <v>0.25</v>
      </c>
      <c r="AA12">
        <v>0.27</v>
      </c>
      <c r="AB12" s="1" t="s">
        <v>101</v>
      </c>
      <c r="AC12">
        <v>2010</v>
      </c>
      <c r="AD12">
        <v>0.41</v>
      </c>
      <c r="AE12">
        <v>25</v>
      </c>
      <c r="AF12" s="1" t="s">
        <v>102</v>
      </c>
      <c r="AG12" s="1" t="s">
        <v>126</v>
      </c>
      <c r="AH12" s="1" t="s">
        <v>92</v>
      </c>
      <c r="AI12">
        <v>2</v>
      </c>
      <c r="AJ12" s="1" t="s">
        <v>210</v>
      </c>
      <c r="AK12" s="1" t="s">
        <v>93</v>
      </c>
      <c r="AL12" s="1" t="s">
        <v>211</v>
      </c>
      <c r="AM12" s="1" t="s">
        <v>130</v>
      </c>
      <c r="AN12" s="1" t="s">
        <v>131</v>
      </c>
      <c r="AO12" s="1" t="s">
        <v>212</v>
      </c>
      <c r="AP12" s="1" t="s">
        <v>93</v>
      </c>
      <c r="AQ12" s="1" t="s">
        <v>92</v>
      </c>
      <c r="AR12" s="1" t="s">
        <v>92</v>
      </c>
      <c r="AS12" s="1" t="s">
        <v>173</v>
      </c>
      <c r="AT12" s="1" t="s">
        <v>135</v>
      </c>
      <c r="AU12" s="1" t="s">
        <v>136</v>
      </c>
      <c r="AV12" s="1" t="s">
        <v>120</v>
      </c>
      <c r="AW12" s="1" t="s">
        <v>92</v>
      </c>
      <c r="AX12" s="1" t="s">
        <v>138</v>
      </c>
      <c r="AY12">
        <v>100</v>
      </c>
      <c r="AZ12">
        <v>38.1</v>
      </c>
      <c r="BA12" s="1" t="s">
        <v>92</v>
      </c>
      <c r="BB12" s="1" t="s">
        <v>92</v>
      </c>
      <c r="BC12" s="1" t="s">
        <v>113</v>
      </c>
      <c r="BD12" s="1" t="s">
        <v>139</v>
      </c>
      <c r="BE12">
        <v>7.5</v>
      </c>
      <c r="BF12" s="1" t="s">
        <v>140</v>
      </c>
      <c r="BG12" s="1" t="s">
        <v>92</v>
      </c>
      <c r="BH12" s="1" t="s">
        <v>92</v>
      </c>
      <c r="BI12" s="1" t="s">
        <v>150</v>
      </c>
      <c r="BJ12" s="1" t="s">
        <v>120</v>
      </c>
      <c r="BK12" s="1" t="s">
        <v>213</v>
      </c>
      <c r="BM12">
        <v>22464</v>
      </c>
      <c r="BN12">
        <v>293</v>
      </c>
      <c r="BO12">
        <v>393</v>
      </c>
      <c r="BP12" s="1" t="s">
        <v>214</v>
      </c>
      <c r="BQ12" s="1" t="s">
        <v>93</v>
      </c>
      <c r="BR12" s="1" t="s">
        <v>215</v>
      </c>
      <c r="BS12" s="1" t="s">
        <v>93</v>
      </c>
      <c r="BT12" s="1" t="s">
        <v>216</v>
      </c>
      <c r="BU12" s="1" t="s">
        <v>119</v>
      </c>
      <c r="BV12" s="1" t="s">
        <v>120</v>
      </c>
      <c r="BW12" s="1" t="s">
        <v>147</v>
      </c>
      <c r="BX12">
        <v>510120</v>
      </c>
      <c r="BY12" s="8">
        <f>BX26/6000/G26</f>
        <v/>
      </c>
      <c r="CE12">
        <v>817</v>
      </c>
      <c r="CF12">
        <v>144</v>
      </c>
      <c r="CG12">
        <v>156</v>
      </c>
      <c r="CH12">
        <v>12</v>
      </c>
      <c r="CI12">
        <v>624</v>
      </c>
      <c r="CJ12">
        <v>4</v>
      </c>
      <c r="CK12">
        <v>600</v>
      </c>
      <c r="CL12">
        <v>40</v>
      </c>
      <c r="CM12" s="1" t="s">
        <v>92</v>
      </c>
    </row>
    <row r="13">
      <c r="A13" s="1" t="s">
        <v>217</v>
      </c>
      <c r="B13" s="1" t="s">
        <v>92</v>
      </c>
      <c r="C13">
        <v>26</v>
      </c>
      <c r="D13" s="1" t="s">
        <v>93</v>
      </c>
      <c r="E13" s="1" t="s">
        <v>94</v>
      </c>
      <c r="F13" s="1" t="s">
        <v>95</v>
      </c>
      <c r="G13">
        <v>50</v>
      </c>
      <c r="H13">
        <v>158</v>
      </c>
      <c r="I13" s="4">
        <f/>
        <v/>
      </c>
      <c r="J13" s="1" t="s">
        <v>122</v>
      </c>
      <c r="M13" s="1" t="s">
        <v>92</v>
      </c>
      <c r="N13">
        <v>2009</v>
      </c>
      <c r="O13">
        <v>2010</v>
      </c>
      <c r="P13" s="1" t="s">
        <v>166</v>
      </c>
      <c r="Q13" s="1" t="s">
        <v>167</v>
      </c>
      <c r="R13" s="1" t="s">
        <v>208</v>
      </c>
      <c r="S13" s="1" t="s">
        <v>209</v>
      </c>
      <c r="T13">
        <v>2096</v>
      </c>
      <c r="U13">
        <v>300</v>
      </c>
      <c r="V13" s="1" t="s">
        <v>101</v>
      </c>
      <c r="W13">
        <v>2010</v>
      </c>
      <c r="X13">
        <v>454.48</v>
      </c>
      <c r="Y13">
        <v>9089.6</v>
      </c>
      <c r="Z13">
        <v>0.25</v>
      </c>
      <c r="AA13">
        <v>0.27</v>
      </c>
      <c r="AB13" s="1" t="s">
        <v>101</v>
      </c>
      <c r="AC13">
        <v>2010</v>
      </c>
      <c r="AD13">
        <v>0.41</v>
      </c>
      <c r="AE13">
        <v>25</v>
      </c>
      <c r="AF13" s="1" t="s">
        <v>102</v>
      </c>
      <c r="AG13" s="1" t="s">
        <v>126</v>
      </c>
      <c r="AH13" s="1" t="s">
        <v>92</v>
      </c>
      <c r="AI13">
        <v>2</v>
      </c>
      <c r="AJ13" s="1" t="s">
        <v>210</v>
      </c>
      <c r="AK13" s="1" t="s">
        <v>93</v>
      </c>
      <c r="AL13" s="1" t="s">
        <v>211</v>
      </c>
      <c r="AM13" s="1" t="s">
        <v>130</v>
      </c>
      <c r="AN13" s="1" t="s">
        <v>131</v>
      </c>
      <c r="AO13" s="1" t="s">
        <v>210</v>
      </c>
      <c r="AP13" s="1" t="s">
        <v>93</v>
      </c>
      <c r="AQ13" s="1" t="s">
        <v>92</v>
      </c>
      <c r="AR13" s="1" t="s">
        <v>92</v>
      </c>
      <c r="AS13" s="1" t="s">
        <v>173</v>
      </c>
      <c r="AT13" s="1" t="s">
        <v>135</v>
      </c>
      <c r="AU13" s="1" t="s">
        <v>136</v>
      </c>
      <c r="AV13" s="1" t="s">
        <v>120</v>
      </c>
      <c r="AW13" s="1" t="s">
        <v>92</v>
      </c>
      <c r="AX13" s="1" t="s">
        <v>92</v>
      </c>
      <c r="AY13">
        <v>100</v>
      </c>
      <c r="AZ13">
        <v>38.1</v>
      </c>
      <c r="BA13" s="1" t="s">
        <v>92</v>
      </c>
      <c r="BB13" s="1" t="s">
        <v>92</v>
      </c>
      <c r="BC13" s="1" t="s">
        <v>113</v>
      </c>
      <c r="BD13" s="1" t="s">
        <v>139</v>
      </c>
      <c r="BE13">
        <v>7.5</v>
      </c>
      <c r="BF13" s="1" t="s">
        <v>140</v>
      </c>
      <c r="BG13" s="1" t="s">
        <v>92</v>
      </c>
      <c r="BH13" s="1" t="s">
        <v>92</v>
      </c>
      <c r="BI13" s="1" t="s">
        <v>218</v>
      </c>
      <c r="BJ13" s="1" t="s">
        <v>219</v>
      </c>
      <c r="BK13" s="1" t="s">
        <v>220</v>
      </c>
      <c r="BM13">
        <v>22464</v>
      </c>
      <c r="BN13">
        <v>293</v>
      </c>
      <c r="BO13">
        <v>393</v>
      </c>
      <c r="BP13" s="1" t="s">
        <v>210</v>
      </c>
      <c r="BQ13" s="1" t="s">
        <v>93</v>
      </c>
      <c r="BR13" s="1" t="s">
        <v>215</v>
      </c>
      <c r="BS13" s="1" t="s">
        <v>93</v>
      </c>
      <c r="BT13" s="1" t="s">
        <v>216</v>
      </c>
      <c r="BU13" s="1" t="s">
        <v>119</v>
      </c>
      <c r="BV13" s="1" t="s">
        <v>120</v>
      </c>
      <c r="BW13" s="1" t="s">
        <v>147</v>
      </c>
      <c r="BX13">
        <v>510120</v>
      </c>
      <c r="BY13" s="8">
        <f>BX27/6000/G27</f>
        <v/>
      </c>
      <c r="CE13">
        <v>817</v>
      </c>
      <c r="CF13">
        <v>144</v>
      </c>
      <c r="CG13">
        <v>156</v>
      </c>
      <c r="CH13">
        <v>12</v>
      </c>
      <c r="CI13">
        <v>624</v>
      </c>
      <c r="CJ13">
        <v>4</v>
      </c>
      <c r="CK13">
        <v>600</v>
      </c>
      <c r="CL13">
        <v>40</v>
      </c>
      <c r="CM13" s="1" t="s">
        <v>92</v>
      </c>
    </row>
    <row r="14">
      <c r="A14" s="1" t="s">
        <v>221</v>
      </c>
      <c r="B14" s="1" t="s">
        <v>92</v>
      </c>
      <c r="C14">
        <v>27</v>
      </c>
      <c r="D14" s="1" t="s">
        <v>93</v>
      </c>
      <c r="E14" s="1" t="s">
        <v>94</v>
      </c>
      <c r="F14" s="1" t="s">
        <v>95</v>
      </c>
      <c r="G14">
        <v>50</v>
      </c>
      <c r="H14">
        <v>175</v>
      </c>
      <c r="I14" s="4">
        <f/>
        <v/>
      </c>
      <c r="J14" s="1" t="s">
        <v>122</v>
      </c>
      <c r="M14" s="1" t="s">
        <v>92</v>
      </c>
      <c r="N14">
        <v>2008</v>
      </c>
      <c r="O14">
        <v>2010</v>
      </c>
      <c r="P14" s="1" t="s">
        <v>166</v>
      </c>
      <c r="Q14" s="1" t="s">
        <v>167</v>
      </c>
      <c r="R14" s="1" t="s">
        <v>167</v>
      </c>
      <c r="S14" s="1" t="s">
        <v>222</v>
      </c>
      <c r="T14">
        <v>2086</v>
      </c>
      <c r="U14">
        <v>319</v>
      </c>
      <c r="V14" s="1" t="s">
        <v>101</v>
      </c>
      <c r="W14">
        <v>2010</v>
      </c>
      <c r="X14">
        <v>483.27</v>
      </c>
      <c r="Y14">
        <v>9665.3</v>
      </c>
      <c r="Z14">
        <v>0.24</v>
      </c>
      <c r="AA14">
        <v>0.27</v>
      </c>
      <c r="AB14" s="1" t="s">
        <v>101</v>
      </c>
      <c r="AC14">
        <v>2010</v>
      </c>
      <c r="AD14">
        <v>0.41</v>
      </c>
      <c r="AE14">
        <v>25</v>
      </c>
      <c r="AF14" s="1" t="s">
        <v>102</v>
      </c>
      <c r="AG14" s="1" t="s">
        <v>92</v>
      </c>
      <c r="AH14" s="1" t="s">
        <v>92</v>
      </c>
      <c r="AI14">
        <v>2</v>
      </c>
      <c r="AJ14" s="1" t="s">
        <v>223</v>
      </c>
      <c r="AK14" s="1" t="s">
        <v>93</v>
      </c>
      <c r="AL14" s="1" t="s">
        <v>223</v>
      </c>
      <c r="AM14" s="1" t="s">
        <v>223</v>
      </c>
      <c r="AN14" s="1" t="s">
        <v>92</v>
      </c>
      <c r="AO14" s="1" t="s">
        <v>223</v>
      </c>
      <c r="AP14" s="1" t="s">
        <v>93</v>
      </c>
      <c r="AQ14" s="1" t="s">
        <v>133</v>
      </c>
      <c r="AR14" s="1" t="s">
        <v>111</v>
      </c>
      <c r="AS14" s="1" t="s">
        <v>173</v>
      </c>
      <c r="AT14" s="1" t="s">
        <v>135</v>
      </c>
      <c r="AU14" s="1" t="s">
        <v>136</v>
      </c>
      <c r="AV14" s="1" t="s">
        <v>120</v>
      </c>
      <c r="AW14" s="1" t="s">
        <v>224</v>
      </c>
      <c r="AX14" s="1" t="s">
        <v>138</v>
      </c>
      <c r="AY14">
        <v>100</v>
      </c>
      <c r="AZ14">
        <v>38.1</v>
      </c>
      <c r="BA14" s="1" t="s">
        <v>92</v>
      </c>
      <c r="BB14" s="1" t="s">
        <v>92</v>
      </c>
      <c r="BC14" s="1" t="s">
        <v>113</v>
      </c>
      <c r="BD14" s="1" t="s">
        <v>139</v>
      </c>
      <c r="BE14">
        <v>7.5</v>
      </c>
      <c r="BF14" s="1" t="s">
        <v>225</v>
      </c>
      <c r="BG14" s="1" t="s">
        <v>92</v>
      </c>
      <c r="BH14" s="1" t="s">
        <v>92</v>
      </c>
      <c r="BI14" s="1" t="s">
        <v>150</v>
      </c>
      <c r="BJ14" s="1" t="s">
        <v>120</v>
      </c>
      <c r="BK14" s="1" t="s">
        <v>92</v>
      </c>
      <c r="BM14">
        <v>24192</v>
      </c>
      <c r="BN14">
        <v>298</v>
      </c>
      <c r="BO14">
        <v>393</v>
      </c>
      <c r="BP14" s="1" t="s">
        <v>226</v>
      </c>
      <c r="BQ14" s="1" t="s">
        <v>93</v>
      </c>
      <c r="BR14" s="1" t="s">
        <v>227</v>
      </c>
      <c r="BS14" s="1" t="s">
        <v>93</v>
      </c>
      <c r="BT14" s="1" t="s">
        <v>228</v>
      </c>
      <c r="BU14" s="1" t="s">
        <v>204</v>
      </c>
      <c r="BV14" s="1" t="s">
        <v>93</v>
      </c>
      <c r="BW14" s="1" t="s">
        <v>92</v>
      </c>
      <c r="BX14">
        <v>552750</v>
      </c>
      <c r="BY14" s="8">
        <f>BX28/6000/G28</f>
        <v/>
      </c>
      <c r="CE14">
        <v>822</v>
      </c>
      <c r="CF14">
        <v>150</v>
      </c>
      <c r="CG14">
        <v>168</v>
      </c>
      <c r="CH14">
        <v>12</v>
      </c>
      <c r="CI14">
        <v>672</v>
      </c>
      <c r="CJ14">
        <v>4</v>
      </c>
      <c r="CK14">
        <v>950</v>
      </c>
      <c r="CL14">
        <v>45</v>
      </c>
      <c r="CM14" s="1" t="s">
        <v>92</v>
      </c>
    </row>
    <row r="15">
      <c r="A15" s="1" t="s">
        <v>229</v>
      </c>
      <c r="B15" s="1" t="s">
        <v>92</v>
      </c>
      <c r="C15">
        <v>28</v>
      </c>
      <c r="D15" s="1" t="s">
        <v>93</v>
      </c>
      <c r="E15" s="1" t="s">
        <v>94</v>
      </c>
      <c r="F15" s="1" t="s">
        <v>95</v>
      </c>
      <c r="G15">
        <v>50</v>
      </c>
      <c r="H15">
        <v>104.5</v>
      </c>
      <c r="I15">
        <f/>
        <v/>
      </c>
      <c r="J15" s="1" t="s">
        <v>122</v>
      </c>
      <c r="M15" s="1" t="s">
        <v>92</v>
      </c>
      <c r="N15">
        <v>2009</v>
      </c>
      <c r="O15">
        <v>2010</v>
      </c>
      <c r="P15" s="1" t="s">
        <v>166</v>
      </c>
      <c r="Q15" s="1" t="s">
        <v>230</v>
      </c>
      <c r="R15" s="1" t="s">
        <v>231</v>
      </c>
      <c r="S15" s="1" t="s">
        <v>232</v>
      </c>
      <c r="T15">
        <v>2086</v>
      </c>
      <c r="U15">
        <v>237</v>
      </c>
      <c r="V15" s="1" t="s">
        <v>101</v>
      </c>
      <c r="W15">
        <v>2010</v>
      </c>
      <c r="X15">
        <v>359.04</v>
      </c>
      <c r="Y15">
        <v>7180.8</v>
      </c>
      <c r="Z15">
        <v>0.3</v>
      </c>
      <c r="AA15">
        <v>0.27</v>
      </c>
      <c r="AB15" s="1" t="s">
        <v>101</v>
      </c>
      <c r="AC15">
        <v>2010</v>
      </c>
      <c r="AD15">
        <v>0.41</v>
      </c>
      <c r="AE15">
        <v>25</v>
      </c>
      <c r="AF15" s="1" t="s">
        <v>102</v>
      </c>
      <c r="AG15" s="1" t="s">
        <v>233</v>
      </c>
      <c r="AH15" s="1" t="s">
        <v>92</v>
      </c>
      <c r="AI15">
        <v>1.35</v>
      </c>
      <c r="AJ15" s="1" t="s">
        <v>170</v>
      </c>
      <c r="AK15" s="1" t="s">
        <v>93</v>
      </c>
      <c r="AL15" s="1" t="s">
        <v>170</v>
      </c>
      <c r="AM15" s="1" t="s">
        <v>171</v>
      </c>
      <c r="AN15" s="1" t="s">
        <v>92</v>
      </c>
      <c r="AO15" s="1" t="s">
        <v>172</v>
      </c>
      <c r="AP15" s="1" t="s">
        <v>93</v>
      </c>
      <c r="AQ15" s="1" t="s">
        <v>92</v>
      </c>
      <c r="AR15" s="1" t="s">
        <v>92</v>
      </c>
      <c r="AS15" s="1" t="s">
        <v>173</v>
      </c>
      <c r="AT15" s="1" t="s">
        <v>135</v>
      </c>
      <c r="AU15" s="1" t="s">
        <v>110</v>
      </c>
      <c r="AV15" s="1" t="s">
        <v>92</v>
      </c>
      <c r="AW15" s="1" t="s">
        <v>92</v>
      </c>
      <c r="AX15" s="1" t="s">
        <v>138</v>
      </c>
      <c r="BA15" s="1" t="s">
        <v>92</v>
      </c>
      <c r="BB15" s="1" t="s">
        <v>92</v>
      </c>
      <c r="BC15" s="1" t="s">
        <v>113</v>
      </c>
      <c r="BD15" s="1" t="s">
        <v>92</v>
      </c>
      <c r="BF15" s="1" t="s">
        <v>92</v>
      </c>
      <c r="BG15" s="1" t="s">
        <v>92</v>
      </c>
      <c r="BH15" s="1" t="s">
        <v>92</v>
      </c>
      <c r="BI15" s="1" t="s">
        <v>150</v>
      </c>
      <c r="BJ15" s="1" t="s">
        <v>120</v>
      </c>
      <c r="BK15" s="1" t="s">
        <v>92</v>
      </c>
      <c r="BO15">
        <v>393</v>
      </c>
      <c r="BP15" s="1" t="s">
        <v>170</v>
      </c>
      <c r="BQ15" s="1" t="s">
        <v>93</v>
      </c>
      <c r="BR15" s="1" t="s">
        <v>174</v>
      </c>
      <c r="BS15" s="1" t="s">
        <v>111</v>
      </c>
      <c r="BT15" s="1" t="s">
        <v>175</v>
      </c>
      <c r="BU15" s="1" t="s">
        <v>204</v>
      </c>
      <c r="BV15" s="1" t="s">
        <v>93</v>
      </c>
      <c r="BW15" s="1" t="s">
        <v>92</v>
      </c>
      <c r="BX15">
        <v>372240</v>
      </c>
      <c r="BY15" s="8">
        <f>BX29/6000/G29</f>
        <v/>
      </c>
      <c r="CE15">
        <v>470</v>
      </c>
      <c r="CF15">
        <v>100</v>
      </c>
      <c r="CG15">
        <v>99</v>
      </c>
      <c r="CH15">
        <v>12</v>
      </c>
      <c r="CI15">
        <v>792</v>
      </c>
      <c r="CJ15">
        <v>8</v>
      </c>
      <c r="CK15">
        <v>350</v>
      </c>
      <c r="CL15">
        <v>31</v>
      </c>
      <c r="CM15" s="1" t="s">
        <v>92</v>
      </c>
    </row>
    <row r="16">
      <c r="A16" s="1" t="s">
        <v>234</v>
      </c>
      <c r="B16" s="1" t="s">
        <v>92</v>
      </c>
      <c r="C16">
        <v>31</v>
      </c>
      <c r="D16" s="1" t="s">
        <v>93</v>
      </c>
      <c r="E16" s="1" t="s">
        <v>94</v>
      </c>
      <c r="F16" s="1" t="s">
        <v>95</v>
      </c>
      <c r="G16">
        <v>50</v>
      </c>
      <c r="H16">
        <v>115.5</v>
      </c>
      <c r="I16" s="4">
        <f>H32/(G32*365*24/1000)</f>
        <v/>
      </c>
      <c r="J16" s="1" t="s">
        <v>122</v>
      </c>
      <c r="M16" s="1" t="s">
        <v>92</v>
      </c>
      <c r="N16">
        <v>2008</v>
      </c>
      <c r="O16">
        <v>2010</v>
      </c>
      <c r="P16" s="1" t="s">
        <v>97</v>
      </c>
      <c r="Q16" s="1" t="s">
        <v>235</v>
      </c>
      <c r="R16" s="1" t="s">
        <v>236</v>
      </c>
      <c r="S16" s="1" t="s">
        <v>237</v>
      </c>
      <c r="T16">
        <v>2064</v>
      </c>
      <c r="U16">
        <v>247</v>
      </c>
      <c r="V16" s="1" t="s">
        <v>101</v>
      </c>
      <c r="W16">
        <v>2010</v>
      </c>
      <c r="X16">
        <v>374.19</v>
      </c>
      <c r="Y16">
        <v>7483.8</v>
      </c>
      <c r="Z16">
        <v>0.28</v>
      </c>
      <c r="AA16">
        <v>0.27</v>
      </c>
      <c r="AB16" s="1" t="s">
        <v>101</v>
      </c>
      <c r="AC16">
        <v>2010</v>
      </c>
      <c r="AD16">
        <v>0.41</v>
      </c>
      <c r="AE16">
        <v>25</v>
      </c>
      <c r="AF16" s="1" t="s">
        <v>102</v>
      </c>
      <c r="AG16" s="1" t="s">
        <v>233</v>
      </c>
      <c r="AH16" s="1" t="s">
        <v>92</v>
      </c>
      <c r="AI16">
        <v>1.35</v>
      </c>
      <c r="AJ16" s="1" t="s">
        <v>170</v>
      </c>
      <c r="AK16" s="1" t="s">
        <v>93</v>
      </c>
      <c r="AL16" s="1" t="s">
        <v>170</v>
      </c>
      <c r="AM16" s="1" t="s">
        <v>171</v>
      </c>
      <c r="AN16" s="1" t="s">
        <v>92</v>
      </c>
      <c r="AO16" s="1" t="s">
        <v>170</v>
      </c>
      <c r="AP16" s="1" t="s">
        <v>93</v>
      </c>
      <c r="AQ16" s="1" t="s">
        <v>92</v>
      </c>
      <c r="AR16" s="1" t="s">
        <v>92</v>
      </c>
      <c r="AS16" s="1" t="s">
        <v>173</v>
      </c>
      <c r="AT16" s="1" t="s">
        <v>135</v>
      </c>
      <c r="AU16" s="1" t="s">
        <v>110</v>
      </c>
      <c r="AV16" s="1" t="s">
        <v>111</v>
      </c>
      <c r="AW16" s="1" t="s">
        <v>92</v>
      </c>
      <c r="AX16" s="1" t="s">
        <v>138</v>
      </c>
      <c r="BA16" s="1" t="s">
        <v>92</v>
      </c>
      <c r="BB16" s="1" t="s">
        <v>92</v>
      </c>
      <c r="BC16" s="1" t="s">
        <v>113</v>
      </c>
      <c r="BD16" s="1" t="s">
        <v>92</v>
      </c>
      <c r="BF16" s="1" t="s">
        <v>92</v>
      </c>
      <c r="BG16" s="1" t="s">
        <v>92</v>
      </c>
      <c r="BH16" s="1" t="s">
        <v>92</v>
      </c>
      <c r="BI16" s="1" t="s">
        <v>170</v>
      </c>
      <c r="BJ16" s="1" t="s">
        <v>93</v>
      </c>
      <c r="BK16" s="1" t="s">
        <v>92</v>
      </c>
      <c r="BO16">
        <v>393</v>
      </c>
      <c r="BP16" s="1" t="s">
        <v>170</v>
      </c>
      <c r="BQ16" s="1" t="s">
        <v>93</v>
      </c>
      <c r="BR16" s="1" t="s">
        <v>174</v>
      </c>
      <c r="BS16" s="1" t="s">
        <v>111</v>
      </c>
      <c r="BT16" s="1" t="s">
        <v>175</v>
      </c>
      <c r="BU16" s="1" t="s">
        <v>238</v>
      </c>
      <c r="BV16" s="1" t="s">
        <v>111</v>
      </c>
      <c r="BW16" s="1" t="s">
        <v>92</v>
      </c>
      <c r="BX16">
        <v>372240</v>
      </c>
      <c r="BY16" s="8">
        <f>BX32/6000/G32</f>
        <v/>
      </c>
      <c r="CE16">
        <v>470</v>
      </c>
      <c r="CF16">
        <v>100</v>
      </c>
      <c r="CG16">
        <v>99</v>
      </c>
      <c r="CH16">
        <v>12</v>
      </c>
      <c r="CI16">
        <v>792</v>
      </c>
      <c r="CJ16">
        <v>8</v>
      </c>
      <c r="CK16">
        <v>350</v>
      </c>
      <c r="CL16">
        <v>31</v>
      </c>
      <c r="CM16" s="1" t="s">
        <v>92</v>
      </c>
    </row>
    <row r="17">
      <c r="A17" s="1" t="s">
        <v>239</v>
      </c>
      <c r="B17" s="1" t="s">
        <v>92</v>
      </c>
      <c r="C17">
        <v>33</v>
      </c>
      <c r="D17" s="1" t="s">
        <v>93</v>
      </c>
      <c r="E17" s="1" t="s">
        <v>94</v>
      </c>
      <c r="F17" s="1" t="s">
        <v>95</v>
      </c>
      <c r="G17">
        <v>50</v>
      </c>
      <c r="H17">
        <v>175</v>
      </c>
      <c r="I17" s="4">
        <f>H34/(G34*365*24/1000)</f>
        <v/>
      </c>
      <c r="J17" s="1" t="s">
        <v>122</v>
      </c>
      <c r="M17" s="1" t="s">
        <v>92</v>
      </c>
      <c r="N17">
        <v>2008</v>
      </c>
      <c r="O17">
        <v>2011</v>
      </c>
      <c r="P17" s="1" t="s">
        <v>97</v>
      </c>
      <c r="Q17" s="1" t="s">
        <v>123</v>
      </c>
      <c r="R17" s="1" t="s">
        <v>124</v>
      </c>
      <c r="S17" s="1" t="s">
        <v>240</v>
      </c>
      <c r="T17">
        <v>2260</v>
      </c>
      <c r="U17">
        <v>315</v>
      </c>
      <c r="V17" s="1" t="s">
        <v>101</v>
      </c>
      <c r="W17">
        <v>2011</v>
      </c>
      <c r="X17">
        <v>490.56</v>
      </c>
      <c r="Y17">
        <v>9811.2</v>
      </c>
      <c r="Z17">
        <v>0.24</v>
      </c>
      <c r="AA17">
        <v>0.27</v>
      </c>
      <c r="AB17" s="1" t="s">
        <v>101</v>
      </c>
      <c r="AC17">
        <v>2011</v>
      </c>
      <c r="AD17">
        <v>0.42</v>
      </c>
      <c r="AE17">
        <v>25</v>
      </c>
      <c r="AF17" s="1" t="s">
        <v>102</v>
      </c>
      <c r="AG17" s="1" t="s">
        <v>92</v>
      </c>
      <c r="AH17" s="1" t="s">
        <v>92</v>
      </c>
      <c r="AI17">
        <v>2</v>
      </c>
      <c r="AJ17" s="1" t="s">
        <v>241</v>
      </c>
      <c r="AK17" s="1" t="s">
        <v>120</v>
      </c>
      <c r="AL17" s="1" t="s">
        <v>242</v>
      </c>
      <c r="AM17" s="1" t="s">
        <v>92</v>
      </c>
      <c r="AN17" s="1" t="s">
        <v>92</v>
      </c>
      <c r="AO17" s="1" t="s">
        <v>243</v>
      </c>
      <c r="AP17" s="1" t="s">
        <v>244</v>
      </c>
      <c r="AQ17" s="1" t="s">
        <v>92</v>
      </c>
      <c r="AR17" s="1" t="s">
        <v>92</v>
      </c>
      <c r="AS17" s="1" t="s">
        <v>245</v>
      </c>
      <c r="AT17" s="1" t="s">
        <v>135</v>
      </c>
      <c r="AU17" s="1" t="s">
        <v>246</v>
      </c>
      <c r="AV17" s="1" t="s">
        <v>120</v>
      </c>
      <c r="AW17" s="1" t="s">
        <v>92</v>
      </c>
      <c r="AX17" s="1" t="s">
        <v>138</v>
      </c>
      <c r="AY17">
        <v>100</v>
      </c>
      <c r="BA17" s="1" t="s">
        <v>92</v>
      </c>
      <c r="BB17" s="1" t="s">
        <v>92</v>
      </c>
      <c r="BC17" s="1" t="s">
        <v>113</v>
      </c>
      <c r="BD17" s="1" t="s">
        <v>139</v>
      </c>
      <c r="BE17">
        <v>7.5</v>
      </c>
      <c r="BF17" s="1" t="s">
        <v>247</v>
      </c>
      <c r="BG17" s="1" t="s">
        <v>92</v>
      </c>
      <c r="BH17" s="1" t="s">
        <v>92</v>
      </c>
      <c r="BI17" s="1" t="s">
        <v>150</v>
      </c>
      <c r="BJ17" s="1" t="s">
        <v>120</v>
      </c>
      <c r="BK17" s="1" t="s">
        <v>92</v>
      </c>
      <c r="BN17">
        <v>293</v>
      </c>
      <c r="BO17">
        <v>393</v>
      </c>
      <c r="BP17" s="1" t="s">
        <v>151</v>
      </c>
      <c r="BQ17" s="1" t="s">
        <v>120</v>
      </c>
      <c r="BR17" s="1" t="s">
        <v>145</v>
      </c>
      <c r="BS17" s="1" t="s">
        <v>120</v>
      </c>
      <c r="BT17" s="1" t="s">
        <v>146</v>
      </c>
      <c r="BU17" s="1" t="s">
        <v>204</v>
      </c>
      <c r="BV17" s="1" t="s">
        <v>93</v>
      </c>
      <c r="BW17" s="1" t="s">
        <v>92</v>
      </c>
      <c r="BX17">
        <v>510120</v>
      </c>
      <c r="BY17">
        <f>BX34/6000/G34</f>
        <v/>
      </c>
      <c r="CE17">
        <v>817</v>
      </c>
      <c r="CF17">
        <v>150</v>
      </c>
      <c r="CG17">
        <v>156</v>
      </c>
      <c r="CH17">
        <v>12</v>
      </c>
      <c r="CI17">
        <v>624</v>
      </c>
      <c r="CJ17">
        <v>4</v>
      </c>
      <c r="CM17" s="1" t="s">
        <v>92</v>
      </c>
    </row>
    <row r="18">
      <c r="A18" s="1" t="s">
        <v>248</v>
      </c>
      <c r="B18" s="1" t="s">
        <v>92</v>
      </c>
      <c r="C18">
        <v>34</v>
      </c>
      <c r="D18" s="1" t="s">
        <v>93</v>
      </c>
      <c r="E18" s="1" t="s">
        <v>94</v>
      </c>
      <c r="F18" s="1" t="s">
        <v>95</v>
      </c>
      <c r="G18">
        <v>50</v>
      </c>
      <c r="H18">
        <v>175</v>
      </c>
      <c r="I18" s="4">
        <f>H35/(G35*365*24/1000)</f>
        <v/>
      </c>
      <c r="J18" s="1" t="s">
        <v>122</v>
      </c>
      <c r="M18" s="1" t="s">
        <v>92</v>
      </c>
      <c r="N18">
        <v>2009</v>
      </c>
      <c r="O18">
        <v>2011</v>
      </c>
      <c r="P18" s="1" t="s">
        <v>97</v>
      </c>
      <c r="Q18" s="1" t="s">
        <v>249</v>
      </c>
      <c r="R18" s="1" t="s">
        <v>250</v>
      </c>
      <c r="S18" s="1" t="s">
        <v>251</v>
      </c>
      <c r="T18">
        <v>2007</v>
      </c>
      <c r="U18">
        <v>270</v>
      </c>
      <c r="V18" s="1" t="s">
        <v>101</v>
      </c>
      <c r="W18">
        <v>2011</v>
      </c>
      <c r="X18">
        <v>420.48</v>
      </c>
      <c r="Y18">
        <v>8409.6</v>
      </c>
      <c r="Z18">
        <v>0.21</v>
      </c>
      <c r="AA18">
        <v>0.27</v>
      </c>
      <c r="AB18" s="1" t="s">
        <v>101</v>
      </c>
      <c r="AC18">
        <v>2011</v>
      </c>
      <c r="AD18">
        <v>0.42</v>
      </c>
      <c r="AE18">
        <v>25</v>
      </c>
      <c r="AF18" s="1" t="s">
        <v>102</v>
      </c>
      <c r="AG18" s="1" t="s">
        <v>92</v>
      </c>
      <c r="AH18" s="1" t="s">
        <v>92</v>
      </c>
      <c r="AI18">
        <v>2.3</v>
      </c>
      <c r="AJ18" s="1" t="s">
        <v>252</v>
      </c>
      <c r="AK18" s="1" t="s">
        <v>253</v>
      </c>
      <c r="AL18" s="1" t="s">
        <v>254</v>
      </c>
      <c r="AM18" s="1" t="s">
        <v>252</v>
      </c>
      <c r="AN18" s="1" t="s">
        <v>92</v>
      </c>
      <c r="AO18" s="1" t="s">
        <v>255</v>
      </c>
      <c r="AP18" s="1" t="s">
        <v>93</v>
      </c>
      <c r="AQ18" s="1" t="s">
        <v>92</v>
      </c>
      <c r="AR18" s="1" t="s">
        <v>92</v>
      </c>
      <c r="AS18" s="1" t="s">
        <v>173</v>
      </c>
      <c r="AT18" s="1" t="s">
        <v>135</v>
      </c>
      <c r="AU18" s="1" t="s">
        <v>92</v>
      </c>
      <c r="AV18" s="1" t="s">
        <v>92</v>
      </c>
      <c r="AW18" s="1" t="s">
        <v>92</v>
      </c>
      <c r="AX18" s="1" t="s">
        <v>138</v>
      </c>
      <c r="AY18">
        <v>100</v>
      </c>
      <c r="AZ18">
        <v>38.1</v>
      </c>
      <c r="BA18" s="1" t="s">
        <v>92</v>
      </c>
      <c r="BB18" s="1" t="s">
        <v>92</v>
      </c>
      <c r="BC18" s="1" t="s">
        <v>113</v>
      </c>
      <c r="BD18" s="1" t="s">
        <v>139</v>
      </c>
      <c r="BE18">
        <v>7.5</v>
      </c>
      <c r="BF18" s="1" t="s">
        <v>256</v>
      </c>
      <c r="BG18" s="1" t="s">
        <v>92</v>
      </c>
      <c r="BH18" s="1" t="s">
        <v>92</v>
      </c>
      <c r="BI18" s="1" t="s">
        <v>215</v>
      </c>
      <c r="BJ18" s="1" t="s">
        <v>93</v>
      </c>
      <c r="BK18" s="1" t="s">
        <v>92</v>
      </c>
      <c r="BN18">
        <v>293</v>
      </c>
      <c r="BO18">
        <v>393</v>
      </c>
      <c r="BP18" s="1" t="s">
        <v>215</v>
      </c>
      <c r="BQ18" s="1" t="s">
        <v>93</v>
      </c>
      <c r="BR18" s="1" t="s">
        <v>215</v>
      </c>
      <c r="BS18" s="1" t="s">
        <v>93</v>
      </c>
      <c r="BT18" s="1" t="s">
        <v>216</v>
      </c>
      <c r="BU18" s="1" t="s">
        <v>119</v>
      </c>
      <c r="BV18" s="1" t="s">
        <v>120</v>
      </c>
      <c r="BW18" s="1" t="s">
        <v>147</v>
      </c>
      <c r="BX18">
        <v>510120</v>
      </c>
      <c r="BY18" s="8">
        <f>BX35/6000/G35</f>
        <v/>
      </c>
      <c r="CE18">
        <v>817</v>
      </c>
      <c r="CG18">
        <v>156</v>
      </c>
      <c r="CI18">
        <v>624</v>
      </c>
      <c r="CJ18">
        <v>4</v>
      </c>
      <c r="CK18">
        <v>900</v>
      </c>
      <c r="CL18">
        <v>45</v>
      </c>
      <c r="CM18" s="1" t="s">
        <v>92</v>
      </c>
    </row>
    <row r="19">
      <c r="A19" s="1" t="s">
        <v>257</v>
      </c>
      <c r="B19" s="1" t="s">
        <v>92</v>
      </c>
      <c r="C19">
        <v>35</v>
      </c>
      <c r="D19" s="1" t="s">
        <v>93</v>
      </c>
      <c r="E19" s="1" t="s">
        <v>94</v>
      </c>
      <c r="F19" s="1" t="s">
        <v>95</v>
      </c>
      <c r="G19">
        <v>20</v>
      </c>
      <c r="H19">
        <v>110</v>
      </c>
      <c r="I19" s="4">
        <f>H36/(G36*365*24/1000)</f>
        <v/>
      </c>
      <c r="J19" s="1" t="s">
        <v>96</v>
      </c>
      <c r="M19" s="1" t="s">
        <v>92</v>
      </c>
      <c r="N19">
        <v>2009</v>
      </c>
      <c r="O19">
        <v>2011</v>
      </c>
      <c r="P19" s="1" t="s">
        <v>97</v>
      </c>
      <c r="Q19" s="1" t="s">
        <v>98</v>
      </c>
      <c r="R19" s="1" t="s">
        <v>258</v>
      </c>
      <c r="S19" s="1" t="s">
        <v>259</v>
      </c>
      <c r="T19">
        <v>2072</v>
      </c>
      <c r="U19">
        <v>230</v>
      </c>
      <c r="V19" s="1" t="s">
        <v>101</v>
      </c>
      <c r="W19">
        <v>2011</v>
      </c>
      <c r="X19">
        <v>358.19</v>
      </c>
      <c r="Y19">
        <v>17909.3</v>
      </c>
      <c r="Z19">
        <v>0.28</v>
      </c>
      <c r="AA19">
        <v>0.27</v>
      </c>
      <c r="AB19" s="1" t="s">
        <v>101</v>
      </c>
      <c r="AC19">
        <v>2011</v>
      </c>
      <c r="AD19">
        <v>0.42</v>
      </c>
      <c r="AE19">
        <v>25</v>
      </c>
      <c r="AF19" s="1" t="s">
        <v>102</v>
      </c>
      <c r="AG19" s="1" t="s">
        <v>92</v>
      </c>
      <c r="AH19" s="1" t="s">
        <v>260</v>
      </c>
      <c r="AI19">
        <v>1.95</v>
      </c>
      <c r="AJ19" s="1" t="s">
        <v>252</v>
      </c>
      <c r="AK19" s="1" t="s">
        <v>93</v>
      </c>
      <c r="AL19" s="1" t="s">
        <v>261</v>
      </c>
      <c r="AM19" s="1" t="s">
        <v>262</v>
      </c>
      <c r="AN19" s="1" t="s">
        <v>92</v>
      </c>
      <c r="AO19" s="1" t="s">
        <v>263</v>
      </c>
      <c r="AP19" s="1" t="s">
        <v>93</v>
      </c>
      <c r="AQ19" s="1" t="s">
        <v>92</v>
      </c>
      <c r="AR19" s="1" t="s">
        <v>92</v>
      </c>
      <c r="AS19" s="1" t="s">
        <v>264</v>
      </c>
      <c r="AT19" s="1" t="s">
        <v>265</v>
      </c>
      <c r="AU19" s="1" t="s">
        <v>136</v>
      </c>
      <c r="AV19" s="1" t="s">
        <v>120</v>
      </c>
      <c r="AW19" s="1" t="s">
        <v>266</v>
      </c>
      <c r="AX19" s="1" t="s">
        <v>138</v>
      </c>
      <c r="BA19" s="1" t="s">
        <v>92</v>
      </c>
      <c r="BB19" s="1" t="s">
        <v>92</v>
      </c>
      <c r="BC19" s="1" t="s">
        <v>113</v>
      </c>
      <c r="BD19" s="1" t="s">
        <v>267</v>
      </c>
      <c r="BE19">
        <v>15</v>
      </c>
      <c r="BF19" s="1" t="s">
        <v>268</v>
      </c>
      <c r="BG19" s="1" t="s">
        <v>92</v>
      </c>
      <c r="BH19" s="1" t="s">
        <v>92</v>
      </c>
      <c r="BI19" s="1" t="s">
        <v>269</v>
      </c>
      <c r="BJ19" s="1" t="s">
        <v>93</v>
      </c>
      <c r="BK19" s="1" t="s">
        <v>92</v>
      </c>
      <c r="BL19">
        <v>140</v>
      </c>
      <c r="BP19" s="1" t="s">
        <v>215</v>
      </c>
      <c r="BQ19" s="1" t="s">
        <v>93</v>
      </c>
      <c r="BR19" s="1" t="s">
        <v>215</v>
      </c>
      <c r="BS19" s="1" t="s">
        <v>93</v>
      </c>
      <c r="BT19" s="1" t="s">
        <v>270</v>
      </c>
      <c r="BU19" s="1" t="s">
        <v>238</v>
      </c>
      <c r="BV19" s="1" t="s">
        <v>111</v>
      </c>
      <c r="BW19" s="1" t="s">
        <v>92</v>
      </c>
      <c r="BX19">
        <v>304750</v>
      </c>
      <c r="BY19" s="8">
        <f>BX36/6000/G36</f>
        <v/>
      </c>
      <c r="BZ19">
        <v>2650</v>
      </c>
      <c r="CA19">
        <v>120</v>
      </c>
      <c r="CK19">
        <v>800</v>
      </c>
      <c r="CL19">
        <v>45</v>
      </c>
      <c r="CM19" s="1" t="s">
        <v>92</v>
      </c>
    </row>
    <row r="20">
      <c r="A20" s="1" t="s">
        <v>271</v>
      </c>
      <c r="B20" s="1" t="s">
        <v>92</v>
      </c>
      <c r="C20">
        <v>36</v>
      </c>
      <c r="D20" s="1" t="s">
        <v>93</v>
      </c>
      <c r="E20" s="1" t="s">
        <v>94</v>
      </c>
      <c r="F20" s="1" t="s">
        <v>95</v>
      </c>
      <c r="G20">
        <v>50</v>
      </c>
      <c r="H20">
        <v>95</v>
      </c>
      <c r="I20" s="4">
        <f>H37/(G37*365*24/1000)</f>
        <v/>
      </c>
      <c r="J20" s="1" t="s">
        <v>122</v>
      </c>
      <c r="M20" s="1" t="s">
        <v>92</v>
      </c>
      <c r="O20">
        <v>2011</v>
      </c>
      <c r="P20" s="1" t="s">
        <v>97</v>
      </c>
      <c r="Q20" s="1" t="s">
        <v>98</v>
      </c>
      <c r="R20" s="1" t="s">
        <v>272</v>
      </c>
      <c r="S20" s="1" t="s">
        <v>273</v>
      </c>
      <c r="T20">
        <v>2159</v>
      </c>
      <c r="U20">
        <v>240</v>
      </c>
      <c r="V20" s="1" t="s">
        <v>101</v>
      </c>
      <c r="W20">
        <v>2011</v>
      </c>
      <c r="X20">
        <v>373.76</v>
      </c>
      <c r="Y20">
        <v>7475.2</v>
      </c>
      <c r="Z20">
        <v>0.34</v>
      </c>
      <c r="AA20">
        <v>0.27</v>
      </c>
      <c r="AB20" s="1" t="s">
        <v>101</v>
      </c>
      <c r="AC20">
        <v>2011</v>
      </c>
      <c r="AD20">
        <v>0.42</v>
      </c>
      <c r="AE20">
        <v>25</v>
      </c>
      <c r="AF20" s="1" t="s">
        <v>102</v>
      </c>
      <c r="AG20" s="1" t="s">
        <v>126</v>
      </c>
      <c r="AH20" s="1" t="s">
        <v>92</v>
      </c>
      <c r="AI20">
        <v>1.1</v>
      </c>
      <c r="AJ20" s="1" t="s">
        <v>274</v>
      </c>
      <c r="AK20" s="1" t="s">
        <v>93</v>
      </c>
      <c r="AL20" s="1" t="s">
        <v>275</v>
      </c>
      <c r="AM20" s="1" t="s">
        <v>276</v>
      </c>
      <c r="AN20" s="1" t="s">
        <v>92</v>
      </c>
      <c r="AO20" s="1" t="s">
        <v>277</v>
      </c>
      <c r="AP20" s="1" t="s">
        <v>93</v>
      </c>
      <c r="AQ20" s="1" t="s">
        <v>92</v>
      </c>
      <c r="AR20" s="1" t="s">
        <v>92</v>
      </c>
      <c r="AS20" s="1" t="s">
        <v>245</v>
      </c>
      <c r="AT20" s="1" t="s">
        <v>135</v>
      </c>
      <c r="AU20" s="1" t="s">
        <v>136</v>
      </c>
      <c r="AV20" s="1" t="s">
        <v>120</v>
      </c>
      <c r="AW20" s="1" t="s">
        <v>137</v>
      </c>
      <c r="AX20" s="1" t="s">
        <v>138</v>
      </c>
      <c r="AY20">
        <v>100</v>
      </c>
      <c r="BA20" s="1" t="s">
        <v>92</v>
      </c>
      <c r="BB20" s="1" t="s">
        <v>92</v>
      </c>
      <c r="BC20" s="1" t="s">
        <v>113</v>
      </c>
      <c r="BD20" s="1" t="s">
        <v>92</v>
      </c>
      <c r="BF20" s="1" t="s">
        <v>92</v>
      </c>
      <c r="BG20" s="1" t="s">
        <v>92</v>
      </c>
      <c r="BH20" s="1" t="s">
        <v>92</v>
      </c>
      <c r="BI20" s="1" t="s">
        <v>150</v>
      </c>
      <c r="BJ20" s="1" t="s">
        <v>120</v>
      </c>
      <c r="BK20" s="1" t="s">
        <v>92</v>
      </c>
      <c r="BM20">
        <v>12960</v>
      </c>
      <c r="BN20">
        <v>293</v>
      </c>
      <c r="BO20">
        <v>393</v>
      </c>
      <c r="BP20" s="1" t="s">
        <v>105</v>
      </c>
      <c r="BQ20" s="1" t="s">
        <v>93</v>
      </c>
      <c r="BR20" s="1" t="s">
        <v>105</v>
      </c>
      <c r="BS20" s="1" t="s">
        <v>93</v>
      </c>
      <c r="BT20" s="1" t="s">
        <v>203</v>
      </c>
      <c r="BU20" s="1" t="s">
        <v>92</v>
      </c>
      <c r="BV20" s="1" t="s">
        <v>92</v>
      </c>
      <c r="BW20" s="1" t="s">
        <v>92</v>
      </c>
      <c r="BX20">
        <v>300000</v>
      </c>
      <c r="BY20" s="8">
        <f>BX37/6000/G37</f>
        <v/>
      </c>
      <c r="CF20">
        <v>150</v>
      </c>
      <c r="CG20">
        <v>90</v>
      </c>
      <c r="CH20">
        <v>12</v>
      </c>
      <c r="CI20">
        <v>360</v>
      </c>
      <c r="CJ20">
        <v>4</v>
      </c>
      <c r="CK20">
        <v>600</v>
      </c>
      <c r="CL20">
        <v>60</v>
      </c>
      <c r="CM20" s="1" t="s">
        <v>92</v>
      </c>
    </row>
    <row r="21">
      <c r="A21" s="1" t="s">
        <v>278</v>
      </c>
      <c r="B21" s="1" t="s">
        <v>92</v>
      </c>
      <c r="C21">
        <v>40</v>
      </c>
      <c r="D21" s="1" t="s">
        <v>93</v>
      </c>
      <c r="E21" s="1" t="s">
        <v>94</v>
      </c>
      <c r="F21" s="1" t="s">
        <v>95</v>
      </c>
      <c r="G21">
        <v>50</v>
      </c>
      <c r="H21">
        <v>175</v>
      </c>
      <c r="I21" s="4">
        <f>H41/(G41*365*24/1000)</f>
        <v/>
      </c>
      <c r="J21" s="1" t="s">
        <v>122</v>
      </c>
      <c r="M21" s="1" t="s">
        <v>92</v>
      </c>
      <c r="N21">
        <v>2008</v>
      </c>
      <c r="O21">
        <v>2011</v>
      </c>
      <c r="P21" s="1" t="s">
        <v>166</v>
      </c>
      <c r="Q21" s="1" t="s">
        <v>167</v>
      </c>
      <c r="R21" s="1" t="s">
        <v>279</v>
      </c>
      <c r="S21" s="1" t="s">
        <v>280</v>
      </c>
      <c r="T21">
        <v>2069</v>
      </c>
      <c r="U21">
        <v>309</v>
      </c>
      <c r="V21" s="1" t="s">
        <v>101</v>
      </c>
      <c r="W21">
        <v>2011</v>
      </c>
      <c r="X21">
        <v>481.22</v>
      </c>
      <c r="Y21">
        <v>9624.3</v>
      </c>
      <c r="Z21">
        <v>0.24</v>
      </c>
      <c r="AA21">
        <v>0.27</v>
      </c>
      <c r="AB21" s="1" t="s">
        <v>101</v>
      </c>
      <c r="AC21">
        <v>2011</v>
      </c>
      <c r="AD21">
        <v>0.42</v>
      </c>
      <c r="AE21">
        <v>25</v>
      </c>
      <c r="AF21" s="1" t="s">
        <v>102</v>
      </c>
      <c r="AG21" s="1" t="s">
        <v>92</v>
      </c>
      <c r="AH21" s="1" t="s">
        <v>92</v>
      </c>
      <c r="AI21">
        <v>2</v>
      </c>
      <c r="AJ21" s="1" t="s">
        <v>223</v>
      </c>
      <c r="AK21" s="1" t="s">
        <v>93</v>
      </c>
      <c r="AL21" s="1" t="s">
        <v>223</v>
      </c>
      <c r="AM21" s="1" t="s">
        <v>223</v>
      </c>
      <c r="AN21" s="1" t="s">
        <v>92</v>
      </c>
      <c r="AO21" s="1" t="s">
        <v>223</v>
      </c>
      <c r="AP21" s="1" t="s">
        <v>93</v>
      </c>
      <c r="AQ21" s="1" t="s">
        <v>92</v>
      </c>
      <c r="AR21" s="1" t="s">
        <v>92</v>
      </c>
      <c r="AS21" s="1" t="s">
        <v>173</v>
      </c>
      <c r="AT21" s="1" t="s">
        <v>135</v>
      </c>
      <c r="AU21" s="1" t="s">
        <v>136</v>
      </c>
      <c r="AV21" s="1" t="s">
        <v>120</v>
      </c>
      <c r="AW21" s="1" t="s">
        <v>137</v>
      </c>
      <c r="AX21" s="1" t="s">
        <v>138</v>
      </c>
      <c r="AY21">
        <v>100</v>
      </c>
      <c r="AZ21">
        <v>38.1</v>
      </c>
      <c r="BA21" s="1" t="s">
        <v>92</v>
      </c>
      <c r="BB21" s="1" t="s">
        <v>92</v>
      </c>
      <c r="BC21" s="1" t="s">
        <v>113</v>
      </c>
      <c r="BD21" s="1" t="s">
        <v>139</v>
      </c>
      <c r="BE21">
        <v>7.5</v>
      </c>
      <c r="BF21" s="1" t="s">
        <v>225</v>
      </c>
      <c r="BG21" s="1" t="s">
        <v>92</v>
      </c>
      <c r="BH21" s="1" t="s">
        <v>92</v>
      </c>
      <c r="BI21" s="1" t="s">
        <v>150</v>
      </c>
      <c r="BJ21" s="1" t="s">
        <v>120</v>
      </c>
      <c r="BK21" s="1" t="s">
        <v>213</v>
      </c>
      <c r="BM21">
        <v>24192</v>
      </c>
      <c r="BN21">
        <v>298</v>
      </c>
      <c r="BO21">
        <v>393</v>
      </c>
      <c r="BP21" s="1" t="s">
        <v>226</v>
      </c>
      <c r="BQ21" s="1" t="s">
        <v>93</v>
      </c>
      <c r="BR21" s="1" t="s">
        <v>227</v>
      </c>
      <c r="BS21" s="1" t="s">
        <v>93</v>
      </c>
      <c r="BT21" s="1" t="s">
        <v>228</v>
      </c>
      <c r="BU21" s="1" t="s">
        <v>204</v>
      </c>
      <c r="BV21" s="1" t="s">
        <v>93</v>
      </c>
      <c r="BW21" s="1" t="s">
        <v>92</v>
      </c>
      <c r="BX21">
        <v>552750</v>
      </c>
      <c r="BY21">
        <f>BX41/6000/G41</f>
        <v/>
      </c>
      <c r="CE21">
        <v>822</v>
      </c>
      <c r="CF21">
        <v>150</v>
      </c>
      <c r="CG21">
        <v>168</v>
      </c>
      <c r="CH21">
        <v>12</v>
      </c>
      <c r="CI21">
        <v>672</v>
      </c>
      <c r="CJ21">
        <v>4</v>
      </c>
      <c r="CK21">
        <v>950</v>
      </c>
      <c r="CL21">
        <v>45</v>
      </c>
      <c r="CM21" s="1" t="s">
        <v>92</v>
      </c>
    </row>
    <row r="22">
      <c r="A22" s="1" t="s">
        <v>281</v>
      </c>
      <c r="B22" s="1" t="s">
        <v>92</v>
      </c>
      <c r="C22">
        <v>42</v>
      </c>
      <c r="D22" s="1" t="s">
        <v>93</v>
      </c>
      <c r="E22" s="1" t="s">
        <v>94</v>
      </c>
      <c r="F22" s="1" t="s">
        <v>95</v>
      </c>
      <c r="G22">
        <v>50</v>
      </c>
      <c r="H22">
        <v>120</v>
      </c>
      <c r="I22" s="4">
        <f>H43/(G43*365*24/1000)</f>
        <v/>
      </c>
      <c r="J22" s="1" t="s">
        <v>122</v>
      </c>
      <c r="M22" s="1" t="s">
        <v>92</v>
      </c>
      <c r="N22">
        <v>2008</v>
      </c>
      <c r="O22">
        <v>2011</v>
      </c>
      <c r="P22" s="1" t="s">
        <v>97</v>
      </c>
      <c r="Q22" s="1" t="s">
        <v>98</v>
      </c>
      <c r="R22" s="1" t="s">
        <v>282</v>
      </c>
      <c r="S22" s="1" t="s">
        <v>283</v>
      </c>
      <c r="T22">
        <v>2065</v>
      </c>
      <c r="U22">
        <v>303</v>
      </c>
      <c r="V22" s="1" t="s">
        <v>101</v>
      </c>
      <c r="W22">
        <v>2011</v>
      </c>
      <c r="X22">
        <v>471.87</v>
      </c>
      <c r="Y22">
        <v>9437.4</v>
      </c>
      <c r="Z22">
        <v>0.34</v>
      </c>
      <c r="AA22">
        <v>0.27</v>
      </c>
      <c r="AB22" s="1" t="s">
        <v>101</v>
      </c>
      <c r="AC22">
        <v>2011</v>
      </c>
      <c r="AD22">
        <v>0.42</v>
      </c>
      <c r="AE22">
        <v>25</v>
      </c>
      <c r="AF22" s="1" t="s">
        <v>102</v>
      </c>
      <c r="AG22" s="1" t="s">
        <v>92</v>
      </c>
      <c r="AH22" s="1" t="s">
        <v>92</v>
      </c>
      <c r="AI22">
        <v>1.88</v>
      </c>
      <c r="AJ22" s="1" t="s">
        <v>284</v>
      </c>
      <c r="AK22" s="1" t="s">
        <v>93</v>
      </c>
      <c r="AL22" s="1" t="s">
        <v>285</v>
      </c>
      <c r="AM22" s="1" t="s">
        <v>286</v>
      </c>
      <c r="AN22" s="1" t="s">
        <v>92</v>
      </c>
      <c r="AO22" s="1" t="s">
        <v>287</v>
      </c>
      <c r="AP22" s="1" t="s">
        <v>93</v>
      </c>
      <c r="AQ22" s="1" t="s">
        <v>288</v>
      </c>
      <c r="AR22" s="1" t="s">
        <v>111</v>
      </c>
      <c r="AS22" s="1" t="s">
        <v>289</v>
      </c>
      <c r="AT22" s="1" t="s">
        <v>135</v>
      </c>
      <c r="AU22" s="1" t="s">
        <v>136</v>
      </c>
      <c r="AV22" s="1" t="s">
        <v>120</v>
      </c>
      <c r="AW22" s="1" t="s">
        <v>137</v>
      </c>
      <c r="AX22" s="1" t="s">
        <v>138</v>
      </c>
      <c r="AY22">
        <v>100</v>
      </c>
      <c r="AZ22">
        <v>38.7</v>
      </c>
      <c r="BA22" s="1" t="s">
        <v>92</v>
      </c>
      <c r="BB22" s="1" t="s">
        <v>92</v>
      </c>
      <c r="BC22" s="1" t="s">
        <v>113</v>
      </c>
      <c r="BD22" s="1" t="s">
        <v>92</v>
      </c>
      <c r="BF22" s="1" t="s">
        <v>92</v>
      </c>
      <c r="BG22" s="1" t="s">
        <v>92</v>
      </c>
      <c r="BH22" s="1" t="s">
        <v>92</v>
      </c>
      <c r="BI22" s="1" t="s">
        <v>218</v>
      </c>
      <c r="BJ22" s="1" t="s">
        <v>219</v>
      </c>
      <c r="BK22" s="1" t="s">
        <v>290</v>
      </c>
      <c r="BM22">
        <v>18144</v>
      </c>
      <c r="BO22">
        <v>395</v>
      </c>
      <c r="BP22" s="1" t="s">
        <v>92</v>
      </c>
      <c r="BQ22" s="1" t="s">
        <v>92</v>
      </c>
      <c r="BR22" s="1" t="s">
        <v>218</v>
      </c>
      <c r="BS22" s="1" t="s">
        <v>219</v>
      </c>
      <c r="BT22" s="1" t="s">
        <v>291</v>
      </c>
      <c r="BU22" s="1" t="s">
        <v>238</v>
      </c>
      <c r="BV22" s="1" t="s">
        <v>111</v>
      </c>
      <c r="BW22" s="1" t="s">
        <v>292</v>
      </c>
      <c r="BX22">
        <v>412020</v>
      </c>
      <c r="BY22" s="8">
        <f>BX43/6000/G43</f>
        <v/>
      </c>
      <c r="CE22">
        <v>545</v>
      </c>
      <c r="CF22">
        <v>95</v>
      </c>
      <c r="CI22">
        <v>756</v>
      </c>
      <c r="CK22">
        <v>500</v>
      </c>
      <c r="CM22" s="1" t="s">
        <v>92</v>
      </c>
    </row>
    <row r="23">
      <c r="A23" s="1" t="s">
        <v>293</v>
      </c>
      <c r="B23" s="1" t="s">
        <v>92</v>
      </c>
      <c r="C23">
        <v>43</v>
      </c>
      <c r="D23" s="1" t="s">
        <v>93</v>
      </c>
      <c r="E23" s="1" t="s">
        <v>94</v>
      </c>
      <c r="F23" s="1" t="s">
        <v>95</v>
      </c>
      <c r="G23">
        <v>50</v>
      </c>
      <c r="H23">
        <v>158</v>
      </c>
      <c r="I23" s="4">
        <f/>
        <v/>
      </c>
      <c r="J23" s="1" t="s">
        <v>122</v>
      </c>
      <c r="M23" s="1" t="s">
        <v>92</v>
      </c>
      <c r="N23">
        <v>2008</v>
      </c>
      <c r="O23">
        <v>2011</v>
      </c>
      <c r="P23" s="1" t="s">
        <v>153</v>
      </c>
      <c r="Q23" s="1" t="s">
        <v>154</v>
      </c>
      <c r="R23" s="1" t="s">
        <v>294</v>
      </c>
      <c r="S23" s="1" t="s">
        <v>295</v>
      </c>
      <c r="T23">
        <v>2107</v>
      </c>
      <c r="U23">
        <v>300</v>
      </c>
      <c r="V23" s="1" t="s">
        <v>101</v>
      </c>
      <c r="W23">
        <v>2011</v>
      </c>
      <c r="X23">
        <v>467.2</v>
      </c>
      <c r="Y23">
        <v>9344</v>
      </c>
      <c r="Z23">
        <v>0.25</v>
      </c>
      <c r="AA23">
        <v>0.27</v>
      </c>
      <c r="AB23" s="1" t="s">
        <v>101</v>
      </c>
      <c r="AC23">
        <v>2011</v>
      </c>
      <c r="AD23">
        <v>0.42</v>
      </c>
      <c r="AE23">
        <v>25</v>
      </c>
      <c r="AF23" s="1" t="s">
        <v>102</v>
      </c>
      <c r="AG23" s="1" t="s">
        <v>92</v>
      </c>
      <c r="AH23" s="1" t="s">
        <v>296</v>
      </c>
      <c r="AI23">
        <v>2</v>
      </c>
      <c r="AJ23" s="1" t="s">
        <v>210</v>
      </c>
      <c r="AK23" s="1" t="s">
        <v>93</v>
      </c>
      <c r="AL23" s="1" t="s">
        <v>297</v>
      </c>
      <c r="AM23" s="1" t="s">
        <v>130</v>
      </c>
      <c r="AN23" s="1" t="s">
        <v>298</v>
      </c>
      <c r="AO23" s="1" t="s">
        <v>210</v>
      </c>
      <c r="AP23" s="1" t="s">
        <v>93</v>
      </c>
      <c r="AQ23" s="1" t="s">
        <v>92</v>
      </c>
      <c r="AR23" s="1" t="s">
        <v>92</v>
      </c>
      <c r="AS23" s="1" t="s">
        <v>173</v>
      </c>
      <c r="AT23" s="1" t="s">
        <v>135</v>
      </c>
      <c r="AU23" s="1" t="s">
        <v>136</v>
      </c>
      <c r="AV23" s="1" t="s">
        <v>120</v>
      </c>
      <c r="AW23" s="1" t="s">
        <v>92</v>
      </c>
      <c r="AX23" s="1" t="s">
        <v>92</v>
      </c>
      <c r="AY23">
        <v>100</v>
      </c>
      <c r="AZ23">
        <v>38.1</v>
      </c>
      <c r="BA23" s="1" t="s">
        <v>92</v>
      </c>
      <c r="BB23" s="1" t="s">
        <v>92</v>
      </c>
      <c r="BC23" s="1" t="s">
        <v>113</v>
      </c>
      <c r="BD23" s="1" t="s">
        <v>139</v>
      </c>
      <c r="BE23">
        <v>7.5</v>
      </c>
      <c r="BF23" s="1" t="s">
        <v>299</v>
      </c>
      <c r="BG23" s="1" t="s">
        <v>92</v>
      </c>
      <c r="BH23" s="1" t="s">
        <v>92</v>
      </c>
      <c r="BI23" s="1" t="s">
        <v>161</v>
      </c>
      <c r="BJ23" s="1" t="s">
        <v>142</v>
      </c>
      <c r="BK23" s="1" t="s">
        <v>92</v>
      </c>
      <c r="BM23">
        <v>11232</v>
      </c>
      <c r="BN23">
        <v>293</v>
      </c>
      <c r="BO23">
        <v>393</v>
      </c>
      <c r="BP23" s="1" t="s">
        <v>210</v>
      </c>
      <c r="BQ23" s="1" t="s">
        <v>93</v>
      </c>
      <c r="BR23" s="1" t="s">
        <v>215</v>
      </c>
      <c r="BS23" s="1" t="s">
        <v>93</v>
      </c>
      <c r="BT23" s="1" t="s">
        <v>216</v>
      </c>
      <c r="BU23" s="1" t="s">
        <v>119</v>
      </c>
      <c r="BV23" s="1" t="s">
        <v>120</v>
      </c>
      <c r="BW23" s="1" t="s">
        <v>147</v>
      </c>
      <c r="BX23">
        <v>510120</v>
      </c>
      <c r="BY23" s="8">
        <f>BX44/6000/G44</f>
        <v/>
      </c>
      <c r="CE23">
        <v>817</v>
      </c>
      <c r="CF23">
        <v>144</v>
      </c>
      <c r="CG23">
        <v>156</v>
      </c>
      <c r="CH23">
        <v>12</v>
      </c>
      <c r="CI23">
        <v>624</v>
      </c>
      <c r="CJ23">
        <v>4</v>
      </c>
      <c r="CK23">
        <v>600</v>
      </c>
      <c r="CL23">
        <v>40</v>
      </c>
      <c r="CM23" s="1" t="s">
        <v>92</v>
      </c>
    </row>
    <row r="24">
      <c r="A24" s="1" t="s">
        <v>300</v>
      </c>
      <c r="B24" s="1" t="s">
        <v>92</v>
      </c>
      <c r="C24">
        <v>44</v>
      </c>
      <c r="D24" s="1" t="s">
        <v>93</v>
      </c>
      <c r="E24" s="1" t="s">
        <v>94</v>
      </c>
      <c r="F24" s="1" t="s">
        <v>95</v>
      </c>
      <c r="G24">
        <v>50</v>
      </c>
      <c r="H24">
        <v>159</v>
      </c>
      <c r="I24" s="4">
        <f/>
        <v/>
      </c>
      <c r="J24" s="1" t="s">
        <v>122</v>
      </c>
      <c r="M24" s="1" t="s">
        <v>92</v>
      </c>
      <c r="N24">
        <v>2009</v>
      </c>
      <c r="O24">
        <v>2011</v>
      </c>
      <c r="P24" s="1" t="s">
        <v>153</v>
      </c>
      <c r="Q24" s="1" t="s">
        <v>154</v>
      </c>
      <c r="R24" s="1" t="s">
        <v>294</v>
      </c>
      <c r="S24" s="1" t="s">
        <v>301</v>
      </c>
      <c r="T24">
        <v>2107</v>
      </c>
      <c r="U24">
        <v>300</v>
      </c>
      <c r="V24" s="1" t="s">
        <v>101</v>
      </c>
      <c r="W24">
        <v>2011</v>
      </c>
      <c r="X24">
        <v>467.2</v>
      </c>
      <c r="Y24">
        <v>9344</v>
      </c>
      <c r="Z24">
        <v>0.25</v>
      </c>
      <c r="AA24">
        <v>0.27</v>
      </c>
      <c r="AB24" s="1" t="s">
        <v>101</v>
      </c>
      <c r="AC24">
        <v>2011</v>
      </c>
      <c r="AD24">
        <v>0.42</v>
      </c>
      <c r="AE24">
        <v>25</v>
      </c>
      <c r="AF24" s="1" t="s">
        <v>102</v>
      </c>
      <c r="AG24" s="1" t="s">
        <v>92</v>
      </c>
      <c r="AH24" s="1" t="s">
        <v>296</v>
      </c>
      <c r="AI24">
        <v>2</v>
      </c>
      <c r="AJ24" s="1" t="s">
        <v>210</v>
      </c>
      <c r="AK24" s="1" t="s">
        <v>93</v>
      </c>
      <c r="AL24" s="1" t="s">
        <v>297</v>
      </c>
      <c r="AM24" s="1" t="s">
        <v>130</v>
      </c>
      <c r="AN24" s="1" t="s">
        <v>298</v>
      </c>
      <c r="AO24" s="1" t="s">
        <v>210</v>
      </c>
      <c r="AP24" s="1" t="s">
        <v>93</v>
      </c>
      <c r="AQ24" s="1" t="s">
        <v>92</v>
      </c>
      <c r="AR24" s="1" t="s">
        <v>92</v>
      </c>
      <c r="AS24" s="1" t="s">
        <v>173</v>
      </c>
      <c r="AT24" s="1" t="s">
        <v>135</v>
      </c>
      <c r="AU24" s="1" t="s">
        <v>136</v>
      </c>
      <c r="AV24" s="1" t="s">
        <v>120</v>
      </c>
      <c r="AW24" s="1" t="s">
        <v>92</v>
      </c>
      <c r="AX24" s="1" t="s">
        <v>92</v>
      </c>
      <c r="AY24">
        <v>100</v>
      </c>
      <c r="AZ24">
        <v>38.1</v>
      </c>
      <c r="BA24" s="1" t="s">
        <v>92</v>
      </c>
      <c r="BB24" s="1" t="s">
        <v>92</v>
      </c>
      <c r="BC24" s="1" t="s">
        <v>113</v>
      </c>
      <c r="BD24" s="1" t="s">
        <v>139</v>
      </c>
      <c r="BE24">
        <v>7.5</v>
      </c>
      <c r="BF24" s="1" t="s">
        <v>299</v>
      </c>
      <c r="BG24" s="1" t="s">
        <v>92</v>
      </c>
      <c r="BH24" s="1" t="s">
        <v>92</v>
      </c>
      <c r="BI24" s="1" t="s">
        <v>150</v>
      </c>
      <c r="BJ24" s="1" t="s">
        <v>120</v>
      </c>
      <c r="BK24" s="1" t="s">
        <v>92</v>
      </c>
      <c r="BM24">
        <v>11232</v>
      </c>
      <c r="BN24">
        <v>293</v>
      </c>
      <c r="BO24">
        <v>393</v>
      </c>
      <c r="BP24" s="1" t="s">
        <v>210</v>
      </c>
      <c r="BQ24" s="1" t="s">
        <v>93</v>
      </c>
      <c r="BR24" s="1" t="s">
        <v>215</v>
      </c>
      <c r="BS24" s="1" t="s">
        <v>93</v>
      </c>
      <c r="BT24" s="1" t="s">
        <v>216</v>
      </c>
      <c r="BU24" s="1" t="s">
        <v>119</v>
      </c>
      <c r="BV24" s="1" t="s">
        <v>120</v>
      </c>
      <c r="BW24" s="1" t="s">
        <v>147</v>
      </c>
      <c r="BX24">
        <v>510120</v>
      </c>
      <c r="BY24" s="8">
        <f>BX45/6000/G45</f>
        <v/>
      </c>
      <c r="CE24">
        <v>817</v>
      </c>
      <c r="CF24">
        <v>144</v>
      </c>
      <c r="CG24">
        <v>156</v>
      </c>
      <c r="CH24">
        <v>12</v>
      </c>
      <c r="CI24">
        <v>624</v>
      </c>
      <c r="CJ24">
        <v>4</v>
      </c>
      <c r="CK24">
        <v>600</v>
      </c>
      <c r="CL24">
        <v>40</v>
      </c>
      <c r="CM24" s="1" t="s">
        <v>92</v>
      </c>
    </row>
    <row r="25">
      <c r="A25" s="1" t="s">
        <v>302</v>
      </c>
      <c r="B25" s="1" t="s">
        <v>92</v>
      </c>
      <c r="C25">
        <v>45</v>
      </c>
      <c r="D25" s="1" t="s">
        <v>93</v>
      </c>
      <c r="E25" s="1" t="s">
        <v>94</v>
      </c>
      <c r="F25" s="1" t="s">
        <v>95</v>
      </c>
      <c r="G25">
        <v>50</v>
      </c>
      <c r="H25">
        <v>114.5</v>
      </c>
      <c r="I25" s="4">
        <f/>
        <v/>
      </c>
      <c r="J25" s="1" t="s">
        <v>122</v>
      </c>
      <c r="M25" s="1" t="s">
        <v>92</v>
      </c>
      <c r="N25">
        <v>2009</v>
      </c>
      <c r="O25">
        <v>2011</v>
      </c>
      <c r="P25" s="1" t="s">
        <v>97</v>
      </c>
      <c r="Q25" s="1" t="s">
        <v>235</v>
      </c>
      <c r="R25" s="1" t="s">
        <v>236</v>
      </c>
      <c r="S25" s="1" t="s">
        <v>237</v>
      </c>
      <c r="T25">
        <v>2064</v>
      </c>
      <c r="U25">
        <v>247</v>
      </c>
      <c r="V25" s="1" t="s">
        <v>101</v>
      </c>
      <c r="W25">
        <v>2011</v>
      </c>
      <c r="X25">
        <v>384.66</v>
      </c>
      <c r="Y25">
        <v>7693.2</v>
      </c>
      <c r="Z25">
        <v>0.29</v>
      </c>
      <c r="AA25">
        <v>0.27</v>
      </c>
      <c r="AB25" s="1" t="s">
        <v>101</v>
      </c>
      <c r="AC25">
        <v>2011</v>
      </c>
      <c r="AD25">
        <v>0.42</v>
      </c>
      <c r="AE25">
        <v>25</v>
      </c>
      <c r="AF25" s="1" t="s">
        <v>102</v>
      </c>
      <c r="AG25" s="1" t="s">
        <v>233</v>
      </c>
      <c r="AH25" s="1" t="s">
        <v>92</v>
      </c>
      <c r="AI25">
        <v>1.35</v>
      </c>
      <c r="AJ25" s="1" t="s">
        <v>170</v>
      </c>
      <c r="AK25" s="1" t="s">
        <v>93</v>
      </c>
      <c r="AL25" s="1" t="s">
        <v>170</v>
      </c>
      <c r="AM25" s="1" t="s">
        <v>171</v>
      </c>
      <c r="AN25" s="1" t="s">
        <v>92</v>
      </c>
      <c r="AO25" s="1" t="s">
        <v>170</v>
      </c>
      <c r="AP25" s="1" t="s">
        <v>93</v>
      </c>
      <c r="AQ25" s="1" t="s">
        <v>92</v>
      </c>
      <c r="AR25" s="1" t="s">
        <v>92</v>
      </c>
      <c r="AS25" s="1" t="s">
        <v>173</v>
      </c>
      <c r="AT25" s="1" t="s">
        <v>135</v>
      </c>
      <c r="AU25" s="1" t="s">
        <v>110</v>
      </c>
      <c r="AV25" s="1" t="s">
        <v>111</v>
      </c>
      <c r="AW25" s="1" t="s">
        <v>92</v>
      </c>
      <c r="AX25" s="1" t="s">
        <v>138</v>
      </c>
      <c r="BA25" s="1" t="s">
        <v>92</v>
      </c>
      <c r="BB25" s="1" t="s">
        <v>92</v>
      </c>
      <c r="BC25" s="1" t="s">
        <v>113</v>
      </c>
      <c r="BD25" s="1" t="s">
        <v>92</v>
      </c>
      <c r="BF25" s="1" t="s">
        <v>92</v>
      </c>
      <c r="BG25" s="1" t="s">
        <v>92</v>
      </c>
      <c r="BH25" s="1" t="s">
        <v>92</v>
      </c>
      <c r="BI25" s="1" t="s">
        <v>170</v>
      </c>
      <c r="BJ25" s="1" t="s">
        <v>93</v>
      </c>
      <c r="BK25" s="1" t="s">
        <v>92</v>
      </c>
      <c r="BO25">
        <v>393</v>
      </c>
      <c r="BP25" s="1" t="s">
        <v>170</v>
      </c>
      <c r="BQ25" s="1" t="s">
        <v>93</v>
      </c>
      <c r="BR25" s="1" t="s">
        <v>174</v>
      </c>
      <c r="BS25" s="1" t="s">
        <v>111</v>
      </c>
      <c r="BT25" s="1" t="s">
        <v>175</v>
      </c>
      <c r="BU25" s="1" t="s">
        <v>119</v>
      </c>
      <c r="BV25" s="1" t="s">
        <v>120</v>
      </c>
      <c r="BW25" s="1" t="s">
        <v>176</v>
      </c>
      <c r="BX25">
        <v>372240</v>
      </c>
      <c r="BY25" s="8">
        <f>BX46/6000/G46</f>
        <v/>
      </c>
      <c r="CE25">
        <v>470</v>
      </c>
      <c r="CF25">
        <v>100</v>
      </c>
      <c r="CG25">
        <v>99</v>
      </c>
      <c r="CH25">
        <v>12</v>
      </c>
      <c r="CI25">
        <v>792</v>
      </c>
      <c r="CJ25">
        <v>8</v>
      </c>
      <c r="CK25">
        <v>350</v>
      </c>
      <c r="CL25">
        <v>31</v>
      </c>
      <c r="CM25" s="1" t="s">
        <v>92</v>
      </c>
    </row>
    <row r="26">
      <c r="A26" s="1" t="s">
        <v>303</v>
      </c>
      <c r="B26" s="1" t="s">
        <v>92</v>
      </c>
      <c r="C26">
        <v>46</v>
      </c>
      <c r="D26" s="1" t="s">
        <v>93</v>
      </c>
      <c r="E26" s="1" t="s">
        <v>94</v>
      </c>
      <c r="F26" s="1" t="s">
        <v>95</v>
      </c>
      <c r="G26">
        <v>50</v>
      </c>
      <c r="H26">
        <v>175</v>
      </c>
      <c r="I26" s="4">
        <f/>
        <v/>
      </c>
      <c r="J26" s="1" t="s">
        <v>122</v>
      </c>
      <c r="M26" s="1" t="s">
        <v>92</v>
      </c>
      <c r="N26">
        <v>2009</v>
      </c>
      <c r="O26">
        <v>2011</v>
      </c>
      <c r="P26" s="1" t="s">
        <v>97</v>
      </c>
      <c r="Q26" s="1" t="s">
        <v>249</v>
      </c>
      <c r="R26" s="1" t="s">
        <v>250</v>
      </c>
      <c r="S26" s="1" t="s">
        <v>304</v>
      </c>
      <c r="T26">
        <v>2007</v>
      </c>
      <c r="U26">
        <v>270</v>
      </c>
      <c r="V26" s="1" t="s">
        <v>101</v>
      </c>
      <c r="W26">
        <v>2011</v>
      </c>
      <c r="X26">
        <v>420.48</v>
      </c>
      <c r="Y26">
        <v>8409.6</v>
      </c>
      <c r="Z26">
        <v>0.21</v>
      </c>
      <c r="AA26">
        <v>0.27</v>
      </c>
      <c r="AB26" s="1" t="s">
        <v>101</v>
      </c>
      <c r="AC26">
        <v>2011</v>
      </c>
      <c r="AD26">
        <v>0.42</v>
      </c>
      <c r="AE26">
        <v>25</v>
      </c>
      <c r="AF26" s="1" t="s">
        <v>102</v>
      </c>
      <c r="AG26" s="1" t="s">
        <v>92</v>
      </c>
      <c r="AH26" s="1" t="s">
        <v>92</v>
      </c>
      <c r="AI26">
        <v>2.3</v>
      </c>
      <c r="AJ26" s="1" t="s">
        <v>252</v>
      </c>
      <c r="AK26" s="1" t="s">
        <v>253</v>
      </c>
      <c r="AL26" s="1" t="s">
        <v>305</v>
      </c>
      <c r="AM26" s="1" t="s">
        <v>252</v>
      </c>
      <c r="AN26" s="1" t="s">
        <v>92</v>
      </c>
      <c r="AO26" s="1" t="s">
        <v>215</v>
      </c>
      <c r="AP26" s="1" t="s">
        <v>93</v>
      </c>
      <c r="AQ26" s="1" t="s">
        <v>92</v>
      </c>
      <c r="AR26" s="1" t="s">
        <v>92</v>
      </c>
      <c r="AS26" s="1" t="s">
        <v>173</v>
      </c>
      <c r="AT26" s="1" t="s">
        <v>135</v>
      </c>
      <c r="AU26" s="1" t="s">
        <v>92</v>
      </c>
      <c r="AV26" s="1" t="s">
        <v>92</v>
      </c>
      <c r="AW26" s="1" t="s">
        <v>92</v>
      </c>
      <c r="AX26" s="1" t="s">
        <v>138</v>
      </c>
      <c r="AY26">
        <v>100</v>
      </c>
      <c r="AZ26">
        <v>38.1</v>
      </c>
      <c r="BA26" s="1" t="s">
        <v>92</v>
      </c>
      <c r="BB26" s="1" t="s">
        <v>92</v>
      </c>
      <c r="BC26" s="1" t="s">
        <v>113</v>
      </c>
      <c r="BD26" s="1" t="s">
        <v>139</v>
      </c>
      <c r="BE26">
        <v>7.5</v>
      </c>
      <c r="BF26" s="1" t="s">
        <v>256</v>
      </c>
      <c r="BG26" s="1" t="s">
        <v>92</v>
      </c>
      <c r="BH26" s="1" t="s">
        <v>92</v>
      </c>
      <c r="BI26" s="1" t="s">
        <v>150</v>
      </c>
      <c r="BJ26" s="1" t="s">
        <v>120</v>
      </c>
      <c r="BK26" s="1" t="s">
        <v>92</v>
      </c>
      <c r="BN26">
        <v>293</v>
      </c>
      <c r="BO26">
        <v>393</v>
      </c>
      <c r="BP26" s="1" t="s">
        <v>215</v>
      </c>
      <c r="BQ26" s="1" t="s">
        <v>93</v>
      </c>
      <c r="BR26" s="1" t="s">
        <v>215</v>
      </c>
      <c r="BS26" s="1" t="s">
        <v>93</v>
      </c>
      <c r="BT26" s="1" t="s">
        <v>306</v>
      </c>
      <c r="BU26" s="1" t="s">
        <v>119</v>
      </c>
      <c r="BV26" s="1" t="s">
        <v>120</v>
      </c>
      <c r="BW26" s="1" t="s">
        <v>147</v>
      </c>
      <c r="BX26">
        <v>510120</v>
      </c>
      <c r="BY26" s="8">
        <f>BX47/6000/G47</f>
        <v/>
      </c>
      <c r="CE26">
        <v>817</v>
      </c>
      <c r="CG26">
        <v>156</v>
      </c>
      <c r="CI26">
        <v>624</v>
      </c>
      <c r="CJ26">
        <v>4</v>
      </c>
      <c r="CK26">
        <v>900</v>
      </c>
      <c r="CL26">
        <v>45</v>
      </c>
      <c r="CM26" s="1" t="s">
        <v>92</v>
      </c>
    </row>
    <row r="27">
      <c r="A27" s="1" t="s">
        <v>307</v>
      </c>
      <c r="B27" s="1" t="s">
        <v>92</v>
      </c>
      <c r="C27">
        <v>47</v>
      </c>
      <c r="D27" s="1" t="s">
        <v>93</v>
      </c>
      <c r="E27" s="1" t="s">
        <v>94</v>
      </c>
      <c r="F27" s="1" t="s">
        <v>95</v>
      </c>
      <c r="G27">
        <v>50</v>
      </c>
      <c r="H27">
        <v>170</v>
      </c>
      <c r="I27" s="4">
        <f/>
        <v/>
      </c>
      <c r="J27" s="1" t="s">
        <v>122</v>
      </c>
      <c r="M27" s="1" t="s">
        <v>92</v>
      </c>
      <c r="N27">
        <v>2011</v>
      </c>
      <c r="O27">
        <v>2012</v>
      </c>
      <c r="P27" s="1" t="s">
        <v>153</v>
      </c>
      <c r="Q27" s="1" t="s">
        <v>154</v>
      </c>
      <c r="R27" s="1" t="s">
        <v>294</v>
      </c>
      <c r="S27" s="1" t="s">
        <v>308</v>
      </c>
      <c r="T27">
        <v>2104</v>
      </c>
      <c r="U27">
        <v>237.5</v>
      </c>
      <c r="V27" s="1" t="s">
        <v>101</v>
      </c>
      <c r="W27">
        <v>2012</v>
      </c>
      <c r="X27">
        <v>335.27</v>
      </c>
      <c r="Y27">
        <v>6705.4</v>
      </c>
      <c r="Z27">
        <v>0.17</v>
      </c>
      <c r="AA27">
        <v>0.27</v>
      </c>
      <c r="AB27" s="1" t="s">
        <v>101</v>
      </c>
      <c r="AC27">
        <v>2012</v>
      </c>
      <c r="AD27">
        <v>0.38</v>
      </c>
      <c r="AE27">
        <v>25</v>
      </c>
      <c r="AF27" s="1" t="s">
        <v>102</v>
      </c>
      <c r="AG27" s="1" t="s">
        <v>126</v>
      </c>
      <c r="AH27" s="1" t="s">
        <v>92</v>
      </c>
      <c r="AI27">
        <v>1.8</v>
      </c>
      <c r="AJ27" s="1" t="s">
        <v>309</v>
      </c>
      <c r="AK27" s="1" t="s">
        <v>93</v>
      </c>
      <c r="AL27" s="1" t="s">
        <v>310</v>
      </c>
      <c r="AM27" s="1" t="s">
        <v>92</v>
      </c>
      <c r="AN27" s="1" t="s">
        <v>92</v>
      </c>
      <c r="AO27" s="1" t="s">
        <v>311</v>
      </c>
      <c r="AP27" s="1" t="s">
        <v>93</v>
      </c>
      <c r="AQ27" s="1" t="s">
        <v>133</v>
      </c>
      <c r="AR27" s="1" t="s">
        <v>111</v>
      </c>
      <c r="AS27" s="1" t="s">
        <v>134</v>
      </c>
      <c r="AT27" s="1" t="s">
        <v>135</v>
      </c>
      <c r="AU27" s="1" t="s">
        <v>92</v>
      </c>
      <c r="AV27" s="1" t="s">
        <v>92</v>
      </c>
      <c r="AW27" s="1" t="s">
        <v>92</v>
      </c>
      <c r="AX27" s="1" t="s">
        <v>138</v>
      </c>
      <c r="AY27">
        <v>100</v>
      </c>
      <c r="BA27" s="1" t="s">
        <v>92</v>
      </c>
      <c r="BB27" s="1" t="s">
        <v>92</v>
      </c>
      <c r="BC27" s="1" t="s">
        <v>113</v>
      </c>
      <c r="BD27" s="1" t="s">
        <v>139</v>
      </c>
      <c r="BE27">
        <v>8</v>
      </c>
      <c r="BF27" s="1" t="s">
        <v>312</v>
      </c>
      <c r="BG27" s="1" t="s">
        <v>92</v>
      </c>
      <c r="BH27" s="1" t="s">
        <v>92</v>
      </c>
      <c r="BI27" s="1" t="s">
        <v>136</v>
      </c>
      <c r="BJ27" s="1" t="s">
        <v>120</v>
      </c>
      <c r="BK27" s="1" t="s">
        <v>290</v>
      </c>
      <c r="BM27">
        <v>22464</v>
      </c>
      <c r="BN27">
        <v>293</v>
      </c>
      <c r="BO27">
        <v>393</v>
      </c>
      <c r="BP27" s="1" t="s">
        <v>215</v>
      </c>
      <c r="BQ27" s="1" t="s">
        <v>93</v>
      </c>
      <c r="BR27" s="1" t="s">
        <v>215</v>
      </c>
      <c r="BS27" s="1" t="s">
        <v>93</v>
      </c>
      <c r="BT27" s="1" t="s">
        <v>216</v>
      </c>
      <c r="BU27" s="1" t="s">
        <v>119</v>
      </c>
      <c r="BV27" s="1" t="s">
        <v>120</v>
      </c>
      <c r="BW27" s="1" t="s">
        <v>147</v>
      </c>
      <c r="BX27">
        <v>510120</v>
      </c>
      <c r="BY27" s="8">
        <f>BX48/6000/G48</f>
        <v/>
      </c>
      <c r="CE27">
        <v>817</v>
      </c>
      <c r="CF27">
        <v>150</v>
      </c>
      <c r="CG27">
        <v>156</v>
      </c>
      <c r="CH27">
        <v>12</v>
      </c>
      <c r="CI27">
        <v>624</v>
      </c>
      <c r="CJ27">
        <v>4</v>
      </c>
      <c r="CK27">
        <v>500</v>
      </c>
      <c r="CL27">
        <v>50</v>
      </c>
      <c r="CM27" s="1" t="s">
        <v>92</v>
      </c>
    </row>
    <row r="28">
      <c r="A28" s="1" t="s">
        <v>313</v>
      </c>
      <c r="B28" s="1" t="s">
        <v>92</v>
      </c>
      <c r="C28">
        <v>48</v>
      </c>
      <c r="D28" s="1" t="s">
        <v>93</v>
      </c>
      <c r="E28" s="1" t="s">
        <v>94</v>
      </c>
      <c r="F28" s="1" t="s">
        <v>95</v>
      </c>
      <c r="G28">
        <v>50</v>
      </c>
      <c r="H28">
        <v>170</v>
      </c>
      <c r="I28" s="4">
        <f/>
        <v/>
      </c>
      <c r="J28" s="1" t="s">
        <v>122</v>
      </c>
      <c r="M28" s="1" t="s">
        <v>314</v>
      </c>
      <c r="N28">
        <v>2011</v>
      </c>
      <c r="O28">
        <v>2012</v>
      </c>
      <c r="P28" s="1" t="s">
        <v>153</v>
      </c>
      <c r="Q28" s="1" t="s">
        <v>154</v>
      </c>
      <c r="R28" s="1" t="s">
        <v>294</v>
      </c>
      <c r="S28" s="1" t="s">
        <v>315</v>
      </c>
      <c r="T28">
        <v>2104</v>
      </c>
      <c r="U28">
        <v>237.5</v>
      </c>
      <c r="V28" s="1" t="s">
        <v>101</v>
      </c>
      <c r="W28">
        <v>2012</v>
      </c>
      <c r="X28">
        <v>335.27</v>
      </c>
      <c r="Y28">
        <v>6705.4</v>
      </c>
      <c r="Z28">
        <v>0.17</v>
      </c>
      <c r="AA28">
        <v>0.27</v>
      </c>
      <c r="AB28" s="1" t="s">
        <v>101</v>
      </c>
      <c r="AC28">
        <v>2012</v>
      </c>
      <c r="AD28">
        <v>0.38</v>
      </c>
      <c r="AE28">
        <v>25</v>
      </c>
      <c r="AF28" s="1" t="s">
        <v>102</v>
      </c>
      <c r="AG28" s="1" t="s">
        <v>126</v>
      </c>
      <c r="AH28" s="1" t="s">
        <v>92</v>
      </c>
      <c r="AI28">
        <v>1.7</v>
      </c>
      <c r="AJ28" s="1" t="s">
        <v>309</v>
      </c>
      <c r="AK28" s="1" t="s">
        <v>93</v>
      </c>
      <c r="AL28" s="1" t="s">
        <v>310</v>
      </c>
      <c r="AM28" s="1" t="s">
        <v>92</v>
      </c>
      <c r="AN28" s="1" t="s">
        <v>92</v>
      </c>
      <c r="AO28" s="1" t="s">
        <v>311</v>
      </c>
      <c r="AP28" s="1" t="s">
        <v>93</v>
      </c>
      <c r="AQ28" s="1" t="s">
        <v>133</v>
      </c>
      <c r="AR28" s="1" t="s">
        <v>111</v>
      </c>
      <c r="AS28" s="1" t="s">
        <v>134</v>
      </c>
      <c r="AT28" s="1" t="s">
        <v>135</v>
      </c>
      <c r="AU28" s="1" t="s">
        <v>92</v>
      </c>
      <c r="AV28" s="1" t="s">
        <v>92</v>
      </c>
      <c r="AW28" s="1" t="s">
        <v>92</v>
      </c>
      <c r="AX28" s="1" t="s">
        <v>138</v>
      </c>
      <c r="AY28">
        <v>100</v>
      </c>
      <c r="BA28" s="1" t="s">
        <v>92</v>
      </c>
      <c r="BB28" s="1" t="s">
        <v>92</v>
      </c>
      <c r="BC28" s="1" t="s">
        <v>113</v>
      </c>
      <c r="BD28" s="1" t="s">
        <v>139</v>
      </c>
      <c r="BE28">
        <v>8</v>
      </c>
      <c r="BF28" s="1" t="s">
        <v>316</v>
      </c>
      <c r="BG28" s="1" t="s">
        <v>92</v>
      </c>
      <c r="BH28" s="1" t="s">
        <v>92</v>
      </c>
      <c r="BI28" s="1" t="s">
        <v>136</v>
      </c>
      <c r="BJ28" s="1" t="s">
        <v>120</v>
      </c>
      <c r="BK28" s="1" t="s">
        <v>290</v>
      </c>
      <c r="BM28">
        <v>17280</v>
      </c>
      <c r="BN28">
        <v>293</v>
      </c>
      <c r="BO28">
        <v>393</v>
      </c>
      <c r="BP28" s="1" t="s">
        <v>215</v>
      </c>
      <c r="BQ28" s="1" t="s">
        <v>93</v>
      </c>
      <c r="BR28" s="1" t="s">
        <v>215</v>
      </c>
      <c r="BS28" s="1" t="s">
        <v>93</v>
      </c>
      <c r="BT28" s="1" t="s">
        <v>216</v>
      </c>
      <c r="BU28" s="1" t="s">
        <v>119</v>
      </c>
      <c r="BV28" s="1" t="s">
        <v>120</v>
      </c>
      <c r="BW28" s="1" t="s">
        <v>147</v>
      </c>
      <c r="BX28">
        <v>510120</v>
      </c>
      <c r="BY28" s="8">
        <f>BX49/6000/G49</f>
        <v/>
      </c>
      <c r="CF28">
        <v>150</v>
      </c>
      <c r="CG28">
        <v>120</v>
      </c>
      <c r="CH28">
        <v>12</v>
      </c>
      <c r="CI28">
        <v>480</v>
      </c>
      <c r="CJ28">
        <v>4</v>
      </c>
      <c r="CK28">
        <v>500</v>
      </c>
      <c r="CL28">
        <v>50</v>
      </c>
      <c r="CM28" s="1" t="s">
        <v>92</v>
      </c>
    </row>
    <row r="29">
      <c r="A29" s="1" t="s">
        <v>317</v>
      </c>
      <c r="B29" s="1" t="s">
        <v>92</v>
      </c>
      <c r="C29">
        <v>49</v>
      </c>
      <c r="D29" s="1" t="s">
        <v>93</v>
      </c>
      <c r="E29" s="1" t="s">
        <v>94</v>
      </c>
      <c r="F29" s="1" t="s">
        <v>95</v>
      </c>
      <c r="G29">
        <v>50</v>
      </c>
      <c r="H29">
        <v>170</v>
      </c>
      <c r="I29" s="4">
        <f/>
        <v/>
      </c>
      <c r="J29" s="1" t="s">
        <v>122</v>
      </c>
      <c r="M29" s="1" t="s">
        <v>92</v>
      </c>
      <c r="N29">
        <v>2010</v>
      </c>
      <c r="O29">
        <v>2012</v>
      </c>
      <c r="P29" s="1" t="s">
        <v>166</v>
      </c>
      <c r="Q29" s="1" t="s">
        <v>167</v>
      </c>
      <c r="R29" s="1" t="s">
        <v>318</v>
      </c>
      <c r="S29" s="1" t="s">
        <v>319</v>
      </c>
      <c r="T29">
        <v>2055</v>
      </c>
      <c r="U29">
        <v>225</v>
      </c>
      <c r="V29" s="1" t="s">
        <v>101</v>
      </c>
      <c r="W29">
        <v>2012</v>
      </c>
      <c r="X29">
        <v>317.63</v>
      </c>
      <c r="Y29">
        <v>6352.5</v>
      </c>
      <c r="Z29">
        <v>0.16</v>
      </c>
      <c r="AA29">
        <v>0.27</v>
      </c>
      <c r="AB29" s="1" t="s">
        <v>101</v>
      </c>
      <c r="AC29">
        <v>2012</v>
      </c>
      <c r="AD29">
        <v>0.38</v>
      </c>
      <c r="AE29">
        <v>25</v>
      </c>
      <c r="AF29" s="1" t="s">
        <v>102</v>
      </c>
      <c r="AG29" s="1" t="s">
        <v>126</v>
      </c>
      <c r="AH29" s="1" t="s">
        <v>92</v>
      </c>
      <c r="AI29">
        <v>1.6</v>
      </c>
      <c r="AJ29" s="1" t="s">
        <v>309</v>
      </c>
      <c r="AK29" s="1" t="s">
        <v>93</v>
      </c>
      <c r="AL29" s="1" t="s">
        <v>310</v>
      </c>
      <c r="AM29" s="1" t="s">
        <v>92</v>
      </c>
      <c r="AN29" s="1" t="s">
        <v>92</v>
      </c>
      <c r="AO29" s="1" t="s">
        <v>311</v>
      </c>
      <c r="AP29" s="1" t="s">
        <v>93</v>
      </c>
      <c r="AQ29" s="1" t="s">
        <v>92</v>
      </c>
      <c r="AR29" s="1" t="s">
        <v>92</v>
      </c>
      <c r="AS29" s="1" t="s">
        <v>245</v>
      </c>
      <c r="AT29" s="1" t="s">
        <v>135</v>
      </c>
      <c r="AU29" s="1" t="s">
        <v>92</v>
      </c>
      <c r="AV29" s="1" t="s">
        <v>92</v>
      </c>
      <c r="AW29" s="1" t="s">
        <v>92</v>
      </c>
      <c r="AX29" s="1" t="s">
        <v>138</v>
      </c>
      <c r="AY29">
        <v>100</v>
      </c>
      <c r="BA29" s="1" t="s">
        <v>92</v>
      </c>
      <c r="BB29" s="1" t="s">
        <v>92</v>
      </c>
      <c r="BC29" s="1" t="s">
        <v>113</v>
      </c>
      <c r="BD29" s="1" t="s">
        <v>139</v>
      </c>
      <c r="BE29">
        <v>8</v>
      </c>
      <c r="BF29" s="1" t="s">
        <v>320</v>
      </c>
      <c r="BG29" s="1" t="s">
        <v>92</v>
      </c>
      <c r="BH29" s="1" t="s">
        <v>92</v>
      </c>
      <c r="BI29" s="1" t="s">
        <v>92</v>
      </c>
      <c r="BJ29" s="1" t="s">
        <v>92</v>
      </c>
      <c r="BK29" s="1" t="s">
        <v>92</v>
      </c>
      <c r="BN29">
        <v>293</v>
      </c>
      <c r="BO29">
        <v>393</v>
      </c>
      <c r="BP29" s="1" t="s">
        <v>151</v>
      </c>
      <c r="BQ29" s="1" t="s">
        <v>120</v>
      </c>
      <c r="BR29" s="1" t="s">
        <v>321</v>
      </c>
      <c r="BS29" s="1" t="s">
        <v>120</v>
      </c>
      <c r="BT29" s="1" t="s">
        <v>146</v>
      </c>
      <c r="BU29" s="1" t="s">
        <v>92</v>
      </c>
      <c r="BV29" s="1" t="s">
        <v>92</v>
      </c>
      <c r="BW29" s="1" t="s">
        <v>92</v>
      </c>
      <c r="BX29">
        <v>510120</v>
      </c>
      <c r="BY29" s="8">
        <f>BX50/6000/G50</f>
        <v/>
      </c>
      <c r="CE29">
        <v>817</v>
      </c>
      <c r="CF29">
        <v>149</v>
      </c>
      <c r="CG29">
        <v>156</v>
      </c>
      <c r="CH29">
        <v>12</v>
      </c>
      <c r="CI29">
        <v>624</v>
      </c>
      <c r="CJ29">
        <v>4</v>
      </c>
      <c r="CK29">
        <v>500</v>
      </c>
      <c r="CL29">
        <v>50</v>
      </c>
      <c r="CM29" s="1" t="s">
        <v>92</v>
      </c>
    </row>
    <row r="30">
      <c r="A30" s="1" t="s">
        <v>322</v>
      </c>
      <c r="B30" s="1" t="s">
        <v>92</v>
      </c>
      <c r="C30">
        <v>51</v>
      </c>
      <c r="D30" s="1" t="s">
        <v>93</v>
      </c>
      <c r="E30" s="1" t="s">
        <v>94</v>
      </c>
      <c r="F30" s="1" t="s">
        <v>95</v>
      </c>
      <c r="G30">
        <v>22.5</v>
      </c>
      <c r="H30">
        <v>44.1</v>
      </c>
      <c r="I30">
        <f>H52/(G52*365*24/1000)</f>
        <v/>
      </c>
      <c r="J30" s="1" t="s">
        <v>323</v>
      </c>
      <c r="K30">
        <v>44</v>
      </c>
      <c r="L30">
        <f>K52/G52</f>
        <v/>
      </c>
      <c r="M30" s="1" t="s">
        <v>324</v>
      </c>
      <c r="N30">
        <v>2011</v>
      </c>
      <c r="O30">
        <v>2012</v>
      </c>
      <c r="P30" s="1" t="s">
        <v>325</v>
      </c>
      <c r="Q30" s="1" t="s">
        <v>326</v>
      </c>
      <c r="R30" s="1" t="s">
        <v>327</v>
      </c>
      <c r="S30" s="1" t="s">
        <v>328</v>
      </c>
      <c r="T30">
        <v>1878</v>
      </c>
      <c r="U30">
        <v>153</v>
      </c>
      <c r="V30" s="1" t="s">
        <v>101</v>
      </c>
      <c r="W30">
        <v>2012</v>
      </c>
      <c r="X30">
        <v>215.99</v>
      </c>
      <c r="Y30">
        <v>9599.4</v>
      </c>
      <c r="Z30">
        <v>0.42</v>
      </c>
      <c r="AA30">
        <v>0.27</v>
      </c>
      <c r="AB30" s="1" t="s">
        <v>101</v>
      </c>
      <c r="AC30">
        <v>2012</v>
      </c>
      <c r="AD30">
        <v>0.38</v>
      </c>
      <c r="AE30">
        <v>25</v>
      </c>
      <c r="AF30" s="1" t="s">
        <v>102</v>
      </c>
      <c r="AG30" s="1" t="s">
        <v>126</v>
      </c>
      <c r="AH30" s="1" t="s">
        <v>92</v>
      </c>
      <c r="AI30">
        <v>0.96</v>
      </c>
      <c r="AJ30" s="1" t="s">
        <v>329</v>
      </c>
      <c r="AK30" s="1" t="s">
        <v>93</v>
      </c>
      <c r="AL30" s="1" t="s">
        <v>330</v>
      </c>
      <c r="AM30" s="1" t="s">
        <v>92</v>
      </c>
      <c r="AN30" s="1" t="s">
        <v>92</v>
      </c>
      <c r="AO30" s="1" t="s">
        <v>331</v>
      </c>
      <c r="AP30" s="1" t="s">
        <v>93</v>
      </c>
      <c r="AQ30" s="1" t="s">
        <v>92</v>
      </c>
      <c r="AR30" s="1" t="s">
        <v>92</v>
      </c>
      <c r="AS30" s="1" t="s">
        <v>245</v>
      </c>
      <c r="AT30" s="1" t="s">
        <v>135</v>
      </c>
      <c r="AU30" s="1" t="s">
        <v>246</v>
      </c>
      <c r="AV30" s="1" t="s">
        <v>120</v>
      </c>
      <c r="AW30" s="1" t="s">
        <v>92</v>
      </c>
      <c r="AX30" s="1" t="s">
        <v>138</v>
      </c>
      <c r="AZ30">
        <v>37</v>
      </c>
      <c r="BA30" s="1" t="s">
        <v>92</v>
      </c>
      <c r="BB30" s="1" t="s">
        <v>92</v>
      </c>
      <c r="BC30" s="1" t="s">
        <v>113</v>
      </c>
      <c r="BD30" s="1" t="s">
        <v>92</v>
      </c>
      <c r="BF30" s="1" t="s">
        <v>92</v>
      </c>
      <c r="BG30" s="1" t="s">
        <v>92</v>
      </c>
      <c r="BH30" s="1" t="s">
        <v>92</v>
      </c>
      <c r="BI30" s="1" t="s">
        <v>136</v>
      </c>
      <c r="BJ30" s="1" t="s">
        <v>120</v>
      </c>
      <c r="BK30" s="1" t="s">
        <v>290</v>
      </c>
      <c r="BM30">
        <v>8064</v>
      </c>
      <c r="BN30">
        <v>293</v>
      </c>
      <c r="BO30">
        <v>393</v>
      </c>
      <c r="BP30" s="1" t="s">
        <v>136</v>
      </c>
      <c r="BQ30" s="1" t="s">
        <v>120</v>
      </c>
      <c r="BR30" s="1" t="s">
        <v>218</v>
      </c>
      <c r="BS30" s="1" t="s">
        <v>219</v>
      </c>
      <c r="BT30" s="1" t="s">
        <v>291</v>
      </c>
      <c r="BU30" s="1" t="s">
        <v>92</v>
      </c>
      <c r="BV30" s="1" t="s">
        <v>92</v>
      </c>
      <c r="BW30" s="1" t="s">
        <v>92</v>
      </c>
      <c r="BX30">
        <v>183120</v>
      </c>
      <c r="BY30">
        <f>BX52/6000/G52</f>
        <v/>
      </c>
      <c r="CE30">
        <v>545</v>
      </c>
      <c r="CF30">
        <v>96</v>
      </c>
      <c r="CG30">
        <v>56</v>
      </c>
      <c r="CH30">
        <v>8</v>
      </c>
      <c r="CI30">
        <v>336</v>
      </c>
      <c r="CJ30">
        <v>6</v>
      </c>
      <c r="CL30">
        <v>30</v>
      </c>
      <c r="CM30" s="1" t="s">
        <v>92</v>
      </c>
    </row>
    <row r="31">
      <c r="A31" s="1" t="s">
        <v>332</v>
      </c>
      <c r="B31" s="1" t="s">
        <v>92</v>
      </c>
      <c r="C31">
        <v>53</v>
      </c>
      <c r="D31" s="1" t="s">
        <v>93</v>
      </c>
      <c r="E31" s="1" t="s">
        <v>94</v>
      </c>
      <c r="F31" s="1" t="s">
        <v>95</v>
      </c>
      <c r="G31">
        <v>50</v>
      </c>
      <c r="H31">
        <v>158</v>
      </c>
      <c r="I31" s="4">
        <f>H54/(G54*365*24/1000)</f>
        <v/>
      </c>
      <c r="J31" s="1" t="s">
        <v>122</v>
      </c>
      <c r="M31" s="1" t="s">
        <v>92</v>
      </c>
      <c r="N31">
        <v>2009</v>
      </c>
      <c r="O31">
        <v>2012</v>
      </c>
      <c r="P31" s="1" t="s">
        <v>166</v>
      </c>
      <c r="Q31" s="1" t="s">
        <v>167</v>
      </c>
      <c r="R31" s="1" t="s">
        <v>208</v>
      </c>
      <c r="S31" s="1" t="s">
        <v>209</v>
      </c>
      <c r="T31">
        <v>2096</v>
      </c>
      <c r="U31">
        <v>390</v>
      </c>
      <c r="V31" s="1" t="s">
        <v>333</v>
      </c>
      <c r="W31">
        <v>2012</v>
      </c>
      <c r="X31">
        <v>428.21</v>
      </c>
      <c r="Y31">
        <v>8564.3</v>
      </c>
      <c r="Z31">
        <v>0.23</v>
      </c>
      <c r="AA31">
        <v>0.27</v>
      </c>
      <c r="AB31" s="1" t="s">
        <v>101</v>
      </c>
      <c r="AC31">
        <v>2012</v>
      </c>
      <c r="AD31">
        <v>0.38</v>
      </c>
      <c r="AE31">
        <v>25</v>
      </c>
      <c r="AF31" s="1" t="s">
        <v>102</v>
      </c>
      <c r="AG31" s="1" t="s">
        <v>126</v>
      </c>
      <c r="AH31" s="1" t="s">
        <v>92</v>
      </c>
      <c r="AI31">
        <v>2</v>
      </c>
      <c r="AJ31" s="1" t="s">
        <v>210</v>
      </c>
      <c r="AK31" s="1" t="s">
        <v>93</v>
      </c>
      <c r="AL31" s="1" t="s">
        <v>211</v>
      </c>
      <c r="AM31" s="1" t="s">
        <v>130</v>
      </c>
      <c r="AN31" s="1" t="s">
        <v>131</v>
      </c>
      <c r="AO31" s="1" t="s">
        <v>210</v>
      </c>
      <c r="AP31" s="1" t="s">
        <v>93</v>
      </c>
      <c r="AQ31" s="1" t="s">
        <v>133</v>
      </c>
      <c r="AR31" s="1" t="s">
        <v>111</v>
      </c>
      <c r="AS31" s="1" t="s">
        <v>134</v>
      </c>
      <c r="AT31" s="1" t="s">
        <v>135</v>
      </c>
      <c r="AU31" s="1" t="s">
        <v>136</v>
      </c>
      <c r="AV31" s="1" t="s">
        <v>120</v>
      </c>
      <c r="AW31" s="1" t="s">
        <v>92</v>
      </c>
      <c r="AX31" s="1" t="s">
        <v>92</v>
      </c>
      <c r="AY31">
        <v>100</v>
      </c>
      <c r="AZ31">
        <v>38.1</v>
      </c>
      <c r="BA31" s="1" t="s">
        <v>92</v>
      </c>
      <c r="BB31" s="1" t="s">
        <v>92</v>
      </c>
      <c r="BC31" s="1" t="s">
        <v>113</v>
      </c>
      <c r="BD31" s="1" t="s">
        <v>139</v>
      </c>
      <c r="BE31">
        <v>7.5</v>
      </c>
      <c r="BF31" s="1" t="s">
        <v>140</v>
      </c>
      <c r="BG31" s="1" t="s">
        <v>92</v>
      </c>
      <c r="BH31" s="1" t="s">
        <v>92</v>
      </c>
      <c r="BI31" s="1" t="s">
        <v>218</v>
      </c>
      <c r="BJ31" s="1" t="s">
        <v>219</v>
      </c>
      <c r="BK31" s="1" t="s">
        <v>220</v>
      </c>
      <c r="BM31">
        <v>22464</v>
      </c>
      <c r="BN31">
        <v>293</v>
      </c>
      <c r="BO31">
        <v>393</v>
      </c>
      <c r="BP31" s="1" t="s">
        <v>210</v>
      </c>
      <c r="BQ31" s="1" t="s">
        <v>93</v>
      </c>
      <c r="BR31" s="1" t="s">
        <v>215</v>
      </c>
      <c r="BS31" s="1" t="s">
        <v>93</v>
      </c>
      <c r="BT31" s="1" t="s">
        <v>216</v>
      </c>
      <c r="BU31" s="1" t="s">
        <v>119</v>
      </c>
      <c r="BV31" s="1" t="s">
        <v>120</v>
      </c>
      <c r="BW31" s="1" t="s">
        <v>147</v>
      </c>
      <c r="BX31">
        <v>510120</v>
      </c>
      <c r="BY31" s="8">
        <f>BX54/6000/G54</f>
        <v/>
      </c>
      <c r="CE31">
        <v>817</v>
      </c>
      <c r="CF31">
        <v>144</v>
      </c>
      <c r="CG31">
        <v>156</v>
      </c>
      <c r="CH31">
        <v>12</v>
      </c>
      <c r="CI31">
        <v>624</v>
      </c>
      <c r="CJ31">
        <v>4</v>
      </c>
      <c r="CK31">
        <v>600</v>
      </c>
      <c r="CL31">
        <v>40</v>
      </c>
      <c r="CM31" s="1" t="s">
        <v>92</v>
      </c>
    </row>
    <row r="32">
      <c r="A32" s="1" t="s">
        <v>334</v>
      </c>
      <c r="B32" s="1" t="s">
        <v>92</v>
      </c>
      <c r="C32">
        <v>55</v>
      </c>
      <c r="D32" s="1" t="s">
        <v>93</v>
      </c>
      <c r="E32" s="1" t="s">
        <v>94</v>
      </c>
      <c r="F32" s="1" t="s">
        <v>95</v>
      </c>
      <c r="G32">
        <v>50</v>
      </c>
      <c r="H32">
        <v>104</v>
      </c>
      <c r="I32" s="4">
        <f>H56/(G56*365*24/1000)</f>
        <v/>
      </c>
      <c r="J32" s="1" t="s">
        <v>122</v>
      </c>
      <c r="M32" s="1" t="s">
        <v>92</v>
      </c>
      <c r="N32">
        <v>2010</v>
      </c>
      <c r="O32">
        <v>2012</v>
      </c>
      <c r="P32" s="1" t="s">
        <v>97</v>
      </c>
      <c r="Q32" s="1" t="s">
        <v>235</v>
      </c>
      <c r="R32" s="1" t="s">
        <v>236</v>
      </c>
      <c r="S32" s="1" t="s">
        <v>335</v>
      </c>
      <c r="T32">
        <v>2064</v>
      </c>
      <c r="U32">
        <v>272</v>
      </c>
      <c r="V32" s="1" t="s">
        <v>101</v>
      </c>
      <c r="W32">
        <v>2012</v>
      </c>
      <c r="X32">
        <v>383.98</v>
      </c>
      <c r="Y32">
        <v>7679.5</v>
      </c>
      <c r="Z32">
        <v>0.32</v>
      </c>
      <c r="AA32">
        <v>0.27</v>
      </c>
      <c r="AB32" s="1" t="s">
        <v>101</v>
      </c>
      <c r="AC32">
        <v>2012</v>
      </c>
      <c r="AD32">
        <v>0.38</v>
      </c>
      <c r="AE32">
        <v>25</v>
      </c>
      <c r="AF32" s="1" t="s">
        <v>102</v>
      </c>
      <c r="AG32" s="1" t="s">
        <v>126</v>
      </c>
      <c r="AH32" s="1" t="s">
        <v>92</v>
      </c>
      <c r="AI32">
        <v>2</v>
      </c>
      <c r="AJ32" s="1" t="s">
        <v>211</v>
      </c>
      <c r="AK32" s="1" t="s">
        <v>93</v>
      </c>
      <c r="AL32" s="1" t="s">
        <v>336</v>
      </c>
      <c r="AM32" s="1" t="s">
        <v>92</v>
      </c>
      <c r="AN32" s="1" t="s">
        <v>92</v>
      </c>
      <c r="AO32" s="1" t="s">
        <v>337</v>
      </c>
      <c r="AP32" s="1" t="s">
        <v>93</v>
      </c>
      <c r="AQ32" s="1" t="s">
        <v>133</v>
      </c>
      <c r="AR32" s="1" t="s">
        <v>111</v>
      </c>
      <c r="AS32" s="1" t="s">
        <v>134</v>
      </c>
      <c r="AT32" s="1" t="s">
        <v>135</v>
      </c>
      <c r="AU32" s="1" t="s">
        <v>246</v>
      </c>
      <c r="AV32" s="1" t="s">
        <v>120</v>
      </c>
      <c r="AW32" s="1" t="s">
        <v>92</v>
      </c>
      <c r="AX32" s="1" t="s">
        <v>138</v>
      </c>
      <c r="AY32">
        <v>100</v>
      </c>
      <c r="BA32" s="1" t="s">
        <v>92</v>
      </c>
      <c r="BB32" s="1" t="s">
        <v>92</v>
      </c>
      <c r="BC32" s="1" t="s">
        <v>113</v>
      </c>
      <c r="BD32" s="1" t="s">
        <v>92</v>
      </c>
      <c r="BF32" s="1" t="s">
        <v>92</v>
      </c>
      <c r="BG32" s="1" t="s">
        <v>92</v>
      </c>
      <c r="BH32" s="1" t="s">
        <v>92</v>
      </c>
      <c r="BI32" s="1" t="s">
        <v>150</v>
      </c>
      <c r="BJ32" s="1" t="s">
        <v>120</v>
      </c>
      <c r="BK32" s="1" t="s">
        <v>213</v>
      </c>
      <c r="BM32">
        <v>13824</v>
      </c>
      <c r="BN32">
        <v>293</v>
      </c>
      <c r="BO32">
        <v>393</v>
      </c>
      <c r="BP32" s="1" t="s">
        <v>215</v>
      </c>
      <c r="BQ32" s="1" t="s">
        <v>93</v>
      </c>
      <c r="BR32" s="1" t="s">
        <v>215</v>
      </c>
      <c r="BS32" s="1" t="s">
        <v>93</v>
      </c>
      <c r="BT32" s="1" t="s">
        <v>216</v>
      </c>
      <c r="BU32" s="1" t="s">
        <v>119</v>
      </c>
      <c r="BV32" s="1" t="s">
        <v>120</v>
      </c>
      <c r="BW32" s="1" t="s">
        <v>147</v>
      </c>
      <c r="BX32">
        <v>310406</v>
      </c>
      <c r="BY32" s="8">
        <f>BX56/6000/G56</f>
        <v/>
      </c>
      <c r="CE32">
        <v>817</v>
      </c>
      <c r="CF32">
        <v>150</v>
      </c>
      <c r="CG32">
        <v>96</v>
      </c>
      <c r="CH32">
        <v>12</v>
      </c>
      <c r="CI32">
        <v>384</v>
      </c>
      <c r="CJ32">
        <v>4</v>
      </c>
      <c r="CM32" s="1" t="s">
        <v>92</v>
      </c>
    </row>
    <row r="33">
      <c r="A33" s="1" t="s">
        <v>338</v>
      </c>
      <c r="B33" s="1" t="s">
        <v>92</v>
      </c>
      <c r="C33">
        <v>56</v>
      </c>
      <c r="D33" s="1" t="s">
        <v>93</v>
      </c>
      <c r="E33" s="1" t="s">
        <v>94</v>
      </c>
      <c r="F33" s="1" t="s">
        <v>95</v>
      </c>
      <c r="G33">
        <v>50</v>
      </c>
      <c r="H33">
        <v>95</v>
      </c>
      <c r="I33">
        <f/>
        <v/>
      </c>
      <c r="J33" s="1" t="s">
        <v>122</v>
      </c>
      <c r="M33" s="1" t="s">
        <v>92</v>
      </c>
      <c r="O33">
        <v>2012</v>
      </c>
      <c r="P33" s="1" t="s">
        <v>97</v>
      </c>
      <c r="Q33" s="1" t="s">
        <v>98</v>
      </c>
      <c r="R33" s="1" t="s">
        <v>272</v>
      </c>
      <c r="S33" s="1" t="s">
        <v>273</v>
      </c>
      <c r="T33">
        <v>2068</v>
      </c>
      <c r="U33">
        <v>240</v>
      </c>
      <c r="V33" s="1" t="s">
        <v>101</v>
      </c>
      <c r="W33">
        <v>2012</v>
      </c>
      <c r="X33">
        <v>338.8</v>
      </c>
      <c r="Y33">
        <v>6776</v>
      </c>
      <c r="Z33">
        <v>0.31</v>
      </c>
      <c r="AA33">
        <v>0.27</v>
      </c>
      <c r="AB33" s="1" t="s">
        <v>101</v>
      </c>
      <c r="AC33">
        <v>2012</v>
      </c>
      <c r="AD33">
        <v>0.38</v>
      </c>
      <c r="AE33">
        <v>25</v>
      </c>
      <c r="AF33" s="1" t="s">
        <v>102</v>
      </c>
      <c r="AG33" s="1" t="s">
        <v>126</v>
      </c>
      <c r="AH33" s="1" t="s">
        <v>92</v>
      </c>
      <c r="AI33">
        <v>1.1</v>
      </c>
      <c r="AJ33" s="1" t="s">
        <v>274</v>
      </c>
      <c r="AK33" s="1" t="s">
        <v>93</v>
      </c>
      <c r="AL33" s="1" t="s">
        <v>275</v>
      </c>
      <c r="AM33" s="1" t="s">
        <v>274</v>
      </c>
      <c r="AN33" s="1" t="s">
        <v>92</v>
      </c>
      <c r="AO33" s="1" t="s">
        <v>277</v>
      </c>
      <c r="AP33" s="1" t="s">
        <v>93</v>
      </c>
      <c r="AQ33" s="1" t="s">
        <v>92</v>
      </c>
      <c r="AR33" s="1" t="s">
        <v>92</v>
      </c>
      <c r="AS33" s="1" t="s">
        <v>245</v>
      </c>
      <c r="AT33" s="1" t="s">
        <v>135</v>
      </c>
      <c r="AU33" s="1" t="s">
        <v>136</v>
      </c>
      <c r="AV33" s="1" t="s">
        <v>120</v>
      </c>
      <c r="AW33" s="1" t="s">
        <v>137</v>
      </c>
      <c r="AX33" s="1" t="s">
        <v>138</v>
      </c>
      <c r="AY33">
        <v>100</v>
      </c>
      <c r="BA33" s="1" t="s">
        <v>92</v>
      </c>
      <c r="BB33" s="1" t="s">
        <v>92</v>
      </c>
      <c r="BC33" s="1" t="s">
        <v>113</v>
      </c>
      <c r="BD33" s="1" t="s">
        <v>92</v>
      </c>
      <c r="BF33" s="1" t="s">
        <v>92</v>
      </c>
      <c r="BG33" s="1" t="s">
        <v>92</v>
      </c>
      <c r="BH33" s="1" t="s">
        <v>92</v>
      </c>
      <c r="BI33" s="1" t="s">
        <v>150</v>
      </c>
      <c r="BJ33" s="1" t="s">
        <v>120</v>
      </c>
      <c r="BK33" s="1" t="s">
        <v>92</v>
      </c>
      <c r="BM33">
        <v>12960</v>
      </c>
      <c r="BN33">
        <v>293</v>
      </c>
      <c r="BO33">
        <v>393</v>
      </c>
      <c r="BP33" s="1" t="s">
        <v>105</v>
      </c>
      <c r="BQ33" s="1" t="s">
        <v>93</v>
      </c>
      <c r="BR33" s="1" t="s">
        <v>105</v>
      </c>
      <c r="BS33" s="1" t="s">
        <v>93</v>
      </c>
      <c r="BT33" s="1" t="s">
        <v>203</v>
      </c>
      <c r="BU33" s="1" t="s">
        <v>92</v>
      </c>
      <c r="BV33" s="1" t="s">
        <v>92</v>
      </c>
      <c r="BW33" s="1" t="s">
        <v>92</v>
      </c>
      <c r="BX33">
        <v>300000</v>
      </c>
      <c r="BY33" s="8">
        <f>BX57/6000/G57</f>
        <v/>
      </c>
      <c r="CF33">
        <v>150</v>
      </c>
      <c r="CG33">
        <v>90</v>
      </c>
      <c r="CH33">
        <v>12</v>
      </c>
      <c r="CI33">
        <v>360</v>
      </c>
      <c r="CJ33">
        <v>4</v>
      </c>
      <c r="CK33">
        <v>600</v>
      </c>
      <c r="CL33">
        <v>60</v>
      </c>
      <c r="CM33" s="1" t="s">
        <v>92</v>
      </c>
    </row>
    <row r="34">
      <c r="A34" s="1" t="s">
        <v>339</v>
      </c>
      <c r="B34" s="1" t="s">
        <v>92</v>
      </c>
      <c r="C34">
        <v>57</v>
      </c>
      <c r="D34" s="1" t="s">
        <v>93</v>
      </c>
      <c r="E34" s="1" t="s">
        <v>94</v>
      </c>
      <c r="F34" s="1" t="s">
        <v>95</v>
      </c>
      <c r="G34">
        <v>50</v>
      </c>
      <c r="H34">
        <v>97</v>
      </c>
      <c r="I34" s="4">
        <f/>
        <v/>
      </c>
      <c r="J34" s="1" t="s">
        <v>122</v>
      </c>
      <c r="M34" s="1" t="s">
        <v>92</v>
      </c>
      <c r="N34">
        <v>2010</v>
      </c>
      <c r="O34">
        <v>2012</v>
      </c>
      <c r="P34" s="1" t="s">
        <v>153</v>
      </c>
      <c r="Q34" s="1" t="s">
        <v>154</v>
      </c>
      <c r="R34" s="1" t="s">
        <v>340</v>
      </c>
      <c r="S34" s="1" t="s">
        <v>341</v>
      </c>
      <c r="T34">
        <v>2092</v>
      </c>
      <c r="U34">
        <v>215</v>
      </c>
      <c r="V34" s="1" t="s">
        <v>101</v>
      </c>
      <c r="W34">
        <v>2012</v>
      </c>
      <c r="X34">
        <v>303.51</v>
      </c>
      <c r="Y34">
        <v>6070.2</v>
      </c>
      <c r="Z34">
        <v>0.27</v>
      </c>
      <c r="AA34">
        <v>0.27</v>
      </c>
      <c r="AB34" s="1" t="s">
        <v>101</v>
      </c>
      <c r="AC34">
        <v>2012</v>
      </c>
      <c r="AD34">
        <v>0.38</v>
      </c>
      <c r="AE34">
        <v>25</v>
      </c>
      <c r="AF34" s="1" t="s">
        <v>102</v>
      </c>
      <c r="AG34" s="1" t="s">
        <v>342</v>
      </c>
      <c r="AH34" s="1" t="s">
        <v>343</v>
      </c>
      <c r="AI34">
        <v>2.6</v>
      </c>
      <c r="AJ34" s="1" t="s">
        <v>344</v>
      </c>
      <c r="AK34" s="1" t="s">
        <v>93</v>
      </c>
      <c r="AL34" s="1" t="s">
        <v>345</v>
      </c>
      <c r="AM34" s="1" t="s">
        <v>92</v>
      </c>
      <c r="AN34" s="1" t="s">
        <v>346</v>
      </c>
      <c r="AO34" s="1" t="s">
        <v>277</v>
      </c>
      <c r="AP34" s="1" t="s">
        <v>93</v>
      </c>
      <c r="AQ34" s="1" t="s">
        <v>92</v>
      </c>
      <c r="AR34" s="1" t="s">
        <v>92</v>
      </c>
      <c r="AS34" s="1" t="s">
        <v>245</v>
      </c>
      <c r="AT34" s="1" t="s">
        <v>135</v>
      </c>
      <c r="AU34" s="1" t="s">
        <v>136</v>
      </c>
      <c r="AV34" s="1" t="s">
        <v>120</v>
      </c>
      <c r="AW34" s="1" t="s">
        <v>92</v>
      </c>
      <c r="AX34" s="1" t="s">
        <v>138</v>
      </c>
      <c r="AY34">
        <v>100</v>
      </c>
      <c r="BA34" s="1" t="s">
        <v>92</v>
      </c>
      <c r="BB34" s="1" t="s">
        <v>92</v>
      </c>
      <c r="BC34" s="1" t="s">
        <v>113</v>
      </c>
      <c r="BD34" s="1" t="s">
        <v>92</v>
      </c>
      <c r="BF34" s="1" t="s">
        <v>92</v>
      </c>
      <c r="BG34" s="1" t="s">
        <v>92</v>
      </c>
      <c r="BH34" s="1" t="s">
        <v>92</v>
      </c>
      <c r="BI34" s="1" t="s">
        <v>150</v>
      </c>
      <c r="BJ34" s="1" t="s">
        <v>120</v>
      </c>
      <c r="BK34" s="1" t="s">
        <v>92</v>
      </c>
      <c r="BM34">
        <v>12960</v>
      </c>
      <c r="BN34">
        <v>293</v>
      </c>
      <c r="BO34">
        <v>393</v>
      </c>
      <c r="BP34" s="1" t="s">
        <v>105</v>
      </c>
      <c r="BQ34" s="1" t="s">
        <v>93</v>
      </c>
      <c r="BR34" s="1" t="s">
        <v>105</v>
      </c>
      <c r="BS34" s="1" t="s">
        <v>93</v>
      </c>
      <c r="BT34" s="1" t="s">
        <v>203</v>
      </c>
      <c r="BU34" s="1" t="s">
        <v>92</v>
      </c>
      <c r="BV34" s="1" t="s">
        <v>92</v>
      </c>
      <c r="BW34" s="1" t="s">
        <v>92</v>
      </c>
      <c r="BX34">
        <v>300000</v>
      </c>
      <c r="BY34" s="8">
        <f>BX58/6000/G58</f>
        <v/>
      </c>
      <c r="CF34">
        <v>150</v>
      </c>
      <c r="CG34">
        <v>90</v>
      </c>
      <c r="CH34">
        <v>12</v>
      </c>
      <c r="CI34">
        <v>360</v>
      </c>
      <c r="CJ34">
        <v>4</v>
      </c>
      <c r="CK34">
        <v>600</v>
      </c>
      <c r="CL34">
        <v>40</v>
      </c>
      <c r="CM34" s="1" t="s">
        <v>92</v>
      </c>
    </row>
    <row r="35">
      <c r="A35" s="1" t="s">
        <v>347</v>
      </c>
      <c r="B35" s="1" t="s">
        <v>92</v>
      </c>
      <c r="C35">
        <v>58</v>
      </c>
      <c r="D35" s="1" t="s">
        <v>93</v>
      </c>
      <c r="E35" s="1" t="s">
        <v>94</v>
      </c>
      <c r="F35" s="1" t="s">
        <v>95</v>
      </c>
      <c r="G35">
        <v>50</v>
      </c>
      <c r="H35">
        <v>97</v>
      </c>
      <c r="I35" s="4">
        <f/>
        <v/>
      </c>
      <c r="J35" s="1" t="s">
        <v>122</v>
      </c>
      <c r="M35" s="1" t="s">
        <v>92</v>
      </c>
      <c r="N35">
        <v>2010</v>
      </c>
      <c r="O35">
        <v>2012</v>
      </c>
      <c r="P35" s="1" t="s">
        <v>153</v>
      </c>
      <c r="Q35" s="1" t="s">
        <v>154</v>
      </c>
      <c r="R35" s="1" t="s">
        <v>340</v>
      </c>
      <c r="S35" s="1" t="s">
        <v>341</v>
      </c>
      <c r="T35">
        <v>2092</v>
      </c>
      <c r="U35">
        <v>215</v>
      </c>
      <c r="V35" s="1" t="s">
        <v>101</v>
      </c>
      <c r="W35">
        <v>2012</v>
      </c>
      <c r="X35">
        <v>303.51</v>
      </c>
      <c r="Y35">
        <v>6070.2</v>
      </c>
      <c r="Z35">
        <v>0.27</v>
      </c>
      <c r="AA35">
        <v>0.27</v>
      </c>
      <c r="AB35" s="1" t="s">
        <v>101</v>
      </c>
      <c r="AC35">
        <v>2012</v>
      </c>
      <c r="AD35">
        <v>0.38</v>
      </c>
      <c r="AE35">
        <v>25</v>
      </c>
      <c r="AF35" s="1" t="s">
        <v>102</v>
      </c>
      <c r="AG35" s="1" t="s">
        <v>348</v>
      </c>
      <c r="AH35" s="1" t="s">
        <v>343</v>
      </c>
      <c r="AI35">
        <v>2.6</v>
      </c>
      <c r="AJ35" s="1" t="s">
        <v>344</v>
      </c>
      <c r="AK35" s="1" t="s">
        <v>93</v>
      </c>
      <c r="AL35" s="1" t="s">
        <v>345</v>
      </c>
      <c r="AM35" s="1" t="s">
        <v>92</v>
      </c>
      <c r="AN35" s="1" t="s">
        <v>346</v>
      </c>
      <c r="AO35" s="1" t="s">
        <v>277</v>
      </c>
      <c r="AP35" s="1" t="s">
        <v>93</v>
      </c>
      <c r="AQ35" s="1" t="s">
        <v>349</v>
      </c>
      <c r="AR35" s="1" t="s">
        <v>111</v>
      </c>
      <c r="AS35" s="1" t="s">
        <v>350</v>
      </c>
      <c r="AT35" s="1" t="s">
        <v>135</v>
      </c>
      <c r="AU35" s="1" t="s">
        <v>136</v>
      </c>
      <c r="AV35" s="1" t="s">
        <v>120</v>
      </c>
      <c r="AW35" s="1" t="s">
        <v>92</v>
      </c>
      <c r="AX35" s="1" t="s">
        <v>138</v>
      </c>
      <c r="AY35">
        <v>100</v>
      </c>
      <c r="BA35" s="1" t="s">
        <v>92</v>
      </c>
      <c r="BB35" s="1" t="s">
        <v>92</v>
      </c>
      <c r="BC35" s="1" t="s">
        <v>113</v>
      </c>
      <c r="BD35" s="1" t="s">
        <v>92</v>
      </c>
      <c r="BF35" s="1" t="s">
        <v>92</v>
      </c>
      <c r="BG35" s="1" t="s">
        <v>92</v>
      </c>
      <c r="BH35" s="1" t="s">
        <v>92</v>
      </c>
      <c r="BI35" s="1" t="s">
        <v>150</v>
      </c>
      <c r="BJ35" s="1" t="s">
        <v>120</v>
      </c>
      <c r="BK35" s="1" t="s">
        <v>92</v>
      </c>
      <c r="BM35">
        <v>12960</v>
      </c>
      <c r="BN35">
        <v>293</v>
      </c>
      <c r="BO35">
        <v>393</v>
      </c>
      <c r="BP35" s="1" t="s">
        <v>105</v>
      </c>
      <c r="BQ35" s="1" t="s">
        <v>93</v>
      </c>
      <c r="BR35" s="1" t="s">
        <v>105</v>
      </c>
      <c r="BS35" s="1" t="s">
        <v>93</v>
      </c>
      <c r="BT35" s="1" t="s">
        <v>203</v>
      </c>
      <c r="BU35" s="1" t="s">
        <v>92</v>
      </c>
      <c r="BV35" s="1" t="s">
        <v>92</v>
      </c>
      <c r="BW35" s="1" t="s">
        <v>92</v>
      </c>
      <c r="BX35">
        <v>300000</v>
      </c>
      <c r="BY35" s="8">
        <f>BX59/6000/G59</f>
        <v/>
      </c>
      <c r="CF35">
        <v>150</v>
      </c>
      <c r="CG35">
        <v>360</v>
      </c>
      <c r="CH35">
        <v>12</v>
      </c>
      <c r="CI35">
        <v>360</v>
      </c>
      <c r="CJ35">
        <v>4</v>
      </c>
      <c r="CK35">
        <v>600</v>
      </c>
      <c r="CL35">
        <v>40</v>
      </c>
      <c r="CM35" s="1" t="s">
        <v>92</v>
      </c>
    </row>
    <row r="36">
      <c r="A36" s="1" t="s">
        <v>351</v>
      </c>
      <c r="B36" s="1" t="s">
        <v>92</v>
      </c>
      <c r="C36">
        <v>59</v>
      </c>
      <c r="D36" s="1" t="s">
        <v>93</v>
      </c>
      <c r="E36" s="1" t="s">
        <v>94</v>
      </c>
      <c r="F36" s="1" t="s">
        <v>95</v>
      </c>
      <c r="G36">
        <v>50</v>
      </c>
      <c r="H36">
        <v>170</v>
      </c>
      <c r="I36" s="4">
        <f/>
        <v/>
      </c>
      <c r="J36" s="1" t="s">
        <v>122</v>
      </c>
      <c r="M36" s="1" t="s">
        <v>92</v>
      </c>
      <c r="O36">
        <v>2012</v>
      </c>
      <c r="P36" s="1" t="s">
        <v>97</v>
      </c>
      <c r="Q36" s="1" t="s">
        <v>235</v>
      </c>
      <c r="R36" s="1" t="s">
        <v>352</v>
      </c>
      <c r="S36" s="1" t="s">
        <v>353</v>
      </c>
      <c r="T36">
        <v>2062</v>
      </c>
      <c r="U36">
        <v>387</v>
      </c>
      <c r="V36" s="1" t="s">
        <v>101</v>
      </c>
      <c r="W36">
        <v>2012</v>
      </c>
      <c r="X36">
        <v>546.32</v>
      </c>
      <c r="Y36">
        <v>10926.4</v>
      </c>
      <c r="Z36">
        <v>0.28</v>
      </c>
      <c r="AA36">
        <v>0.27</v>
      </c>
      <c r="AB36" s="1" t="s">
        <v>101</v>
      </c>
      <c r="AC36">
        <v>2012</v>
      </c>
      <c r="AD36">
        <v>0.38</v>
      </c>
      <c r="AE36">
        <v>25</v>
      </c>
      <c r="AF36" s="1" t="s">
        <v>102</v>
      </c>
      <c r="AG36" s="1" t="s">
        <v>126</v>
      </c>
      <c r="AH36" s="1" t="s">
        <v>92</v>
      </c>
      <c r="AI36">
        <v>2.5</v>
      </c>
      <c r="AJ36" s="1" t="s">
        <v>354</v>
      </c>
      <c r="AK36" s="1" t="s">
        <v>93</v>
      </c>
      <c r="AL36" s="1" t="s">
        <v>354</v>
      </c>
      <c r="AM36" s="1" t="s">
        <v>92</v>
      </c>
      <c r="AN36" s="1" t="s">
        <v>131</v>
      </c>
      <c r="AO36" s="1" t="s">
        <v>215</v>
      </c>
      <c r="AP36" s="1" t="s">
        <v>93</v>
      </c>
      <c r="AQ36" s="1" t="s">
        <v>133</v>
      </c>
      <c r="AR36" s="1" t="s">
        <v>111</v>
      </c>
      <c r="AS36" s="1" t="s">
        <v>355</v>
      </c>
      <c r="AT36" s="1" t="s">
        <v>135</v>
      </c>
      <c r="AU36" s="1" t="s">
        <v>136</v>
      </c>
      <c r="AV36" s="1" t="s">
        <v>120</v>
      </c>
      <c r="AW36" s="1" t="s">
        <v>137</v>
      </c>
      <c r="AX36" s="1" t="s">
        <v>138</v>
      </c>
      <c r="BA36" s="1" t="s">
        <v>92</v>
      </c>
      <c r="BB36" s="1" t="s">
        <v>92</v>
      </c>
      <c r="BC36" s="1" t="s">
        <v>113</v>
      </c>
      <c r="BD36" s="1" t="s">
        <v>139</v>
      </c>
      <c r="BE36">
        <v>7.5</v>
      </c>
      <c r="BF36" s="1" t="s">
        <v>356</v>
      </c>
      <c r="BG36" s="1" t="s">
        <v>92</v>
      </c>
      <c r="BH36" s="1" t="s">
        <v>92</v>
      </c>
      <c r="BI36" s="1" t="s">
        <v>150</v>
      </c>
      <c r="BJ36" s="1" t="s">
        <v>120</v>
      </c>
      <c r="BK36" s="1" t="s">
        <v>92</v>
      </c>
      <c r="BN36">
        <v>293</v>
      </c>
      <c r="BO36">
        <v>393</v>
      </c>
      <c r="BP36" s="1" t="s">
        <v>215</v>
      </c>
      <c r="BQ36" s="1" t="s">
        <v>93</v>
      </c>
      <c r="BR36" s="1" t="s">
        <v>215</v>
      </c>
      <c r="BS36" s="1" t="s">
        <v>93</v>
      </c>
      <c r="BT36" s="1" t="s">
        <v>216</v>
      </c>
      <c r="BU36" s="1" t="s">
        <v>119</v>
      </c>
      <c r="BV36" s="1" t="s">
        <v>120</v>
      </c>
      <c r="BW36" s="1" t="s">
        <v>147</v>
      </c>
      <c r="BX36">
        <v>550000</v>
      </c>
      <c r="BY36" s="8">
        <f>BX60/6000/G60</f>
        <v/>
      </c>
      <c r="CF36">
        <v>150</v>
      </c>
      <c r="CG36">
        <v>168</v>
      </c>
      <c r="CH36">
        <v>12</v>
      </c>
      <c r="CI36">
        <v>672</v>
      </c>
      <c r="CJ36">
        <v>4</v>
      </c>
      <c r="CK36">
        <v>300</v>
      </c>
      <c r="CL36">
        <v>40</v>
      </c>
      <c r="CM36" s="1" t="s">
        <v>92</v>
      </c>
    </row>
    <row r="37">
      <c r="A37" s="1" t="s">
        <v>357</v>
      </c>
      <c r="B37" s="1" t="s">
        <v>92</v>
      </c>
      <c r="C37">
        <v>61</v>
      </c>
      <c r="D37" s="1" t="s">
        <v>93</v>
      </c>
      <c r="E37" s="1" t="s">
        <v>94</v>
      </c>
      <c r="F37" s="1" t="s">
        <v>95</v>
      </c>
      <c r="G37">
        <v>50</v>
      </c>
      <c r="H37">
        <v>100</v>
      </c>
      <c r="I37" s="4">
        <f/>
        <v/>
      </c>
      <c r="J37" s="1" t="s">
        <v>122</v>
      </c>
      <c r="M37" s="1" t="s">
        <v>92</v>
      </c>
      <c r="O37">
        <v>2012</v>
      </c>
      <c r="P37" s="1" t="s">
        <v>97</v>
      </c>
      <c r="Q37" s="1" t="s">
        <v>98</v>
      </c>
      <c r="R37" s="1" t="s">
        <v>358</v>
      </c>
      <c r="S37" s="1" t="s">
        <v>359</v>
      </c>
      <c r="T37">
        <v>2068</v>
      </c>
      <c r="U37">
        <v>295</v>
      </c>
      <c r="V37" s="1" t="s">
        <v>101</v>
      </c>
      <c r="W37">
        <v>2012</v>
      </c>
      <c r="X37">
        <v>416.44</v>
      </c>
      <c r="Y37">
        <v>8328.9</v>
      </c>
      <c r="Z37">
        <v>0.36</v>
      </c>
      <c r="AA37">
        <v>0.27</v>
      </c>
      <c r="AB37" s="1" t="s">
        <v>101</v>
      </c>
      <c r="AC37">
        <v>2012</v>
      </c>
      <c r="AD37">
        <v>0.38</v>
      </c>
      <c r="AE37">
        <v>25</v>
      </c>
      <c r="AF37" s="1" t="s">
        <v>102</v>
      </c>
      <c r="AG37" s="1" t="s">
        <v>126</v>
      </c>
      <c r="AH37" s="1" t="s">
        <v>92</v>
      </c>
      <c r="AI37">
        <v>1.6</v>
      </c>
      <c r="AJ37" s="1" t="s">
        <v>360</v>
      </c>
      <c r="AK37" s="1" t="s">
        <v>93</v>
      </c>
      <c r="AL37" s="1" t="s">
        <v>361</v>
      </c>
      <c r="AM37" s="1" t="s">
        <v>92</v>
      </c>
      <c r="AN37" s="1" t="s">
        <v>131</v>
      </c>
      <c r="AO37" s="1" t="s">
        <v>362</v>
      </c>
      <c r="AP37" s="1" t="s">
        <v>93</v>
      </c>
      <c r="AQ37" s="1" t="s">
        <v>92</v>
      </c>
      <c r="AR37" s="1" t="s">
        <v>92</v>
      </c>
      <c r="AS37" s="1" t="s">
        <v>245</v>
      </c>
      <c r="AT37" s="1" t="s">
        <v>135</v>
      </c>
      <c r="AU37" s="1" t="s">
        <v>136</v>
      </c>
      <c r="AV37" s="1" t="s">
        <v>120</v>
      </c>
      <c r="AW37" s="1" t="s">
        <v>92</v>
      </c>
      <c r="AX37" s="1" t="s">
        <v>138</v>
      </c>
      <c r="AY37">
        <v>100</v>
      </c>
      <c r="BA37" s="1" t="s">
        <v>92</v>
      </c>
      <c r="BB37" s="1" t="s">
        <v>92</v>
      </c>
      <c r="BC37" s="1" t="s">
        <v>113</v>
      </c>
      <c r="BD37" s="1" t="s">
        <v>92</v>
      </c>
      <c r="BF37" s="1" t="s">
        <v>92</v>
      </c>
      <c r="BG37" s="1" t="s">
        <v>92</v>
      </c>
      <c r="BH37" s="1" t="s">
        <v>92</v>
      </c>
      <c r="BI37" s="1" t="s">
        <v>218</v>
      </c>
      <c r="BJ37" s="1" t="s">
        <v>219</v>
      </c>
      <c r="BK37" s="1" t="s">
        <v>220</v>
      </c>
      <c r="BN37">
        <v>293</v>
      </c>
      <c r="BO37">
        <v>393</v>
      </c>
      <c r="BP37" s="1" t="s">
        <v>92</v>
      </c>
      <c r="BQ37" s="1" t="s">
        <v>92</v>
      </c>
      <c r="BR37" s="1" t="s">
        <v>321</v>
      </c>
      <c r="BS37" s="1" t="s">
        <v>120</v>
      </c>
      <c r="BT37" s="1" t="s">
        <v>146</v>
      </c>
      <c r="BU37" s="1" t="s">
        <v>363</v>
      </c>
      <c r="BV37" s="1" t="s">
        <v>364</v>
      </c>
      <c r="BW37" s="1" t="s">
        <v>92</v>
      </c>
      <c r="BX37">
        <v>380000</v>
      </c>
      <c r="BY37" s="8">
        <f>BX62/6000/G62</f>
        <v/>
      </c>
      <c r="CG37">
        <v>116</v>
      </c>
      <c r="CI37">
        <v>464</v>
      </c>
      <c r="CJ37">
        <v>4</v>
      </c>
      <c r="CK37">
        <v>600</v>
      </c>
      <c r="CL37">
        <v>45</v>
      </c>
      <c r="CM37" s="1" t="s">
        <v>92</v>
      </c>
    </row>
    <row r="38">
      <c r="A38" s="1" t="s">
        <v>365</v>
      </c>
      <c r="B38" s="1" t="s">
        <v>92</v>
      </c>
      <c r="C38">
        <v>63</v>
      </c>
      <c r="D38" s="1" t="s">
        <v>93</v>
      </c>
      <c r="E38" s="1" t="s">
        <v>94</v>
      </c>
      <c r="F38" s="1" t="s">
        <v>95</v>
      </c>
      <c r="G38">
        <v>50</v>
      </c>
      <c r="H38">
        <v>100</v>
      </c>
      <c r="I38" s="4">
        <f>H64/(G64*365*24/1000)</f>
        <v/>
      </c>
      <c r="J38" s="1" t="s">
        <v>122</v>
      </c>
      <c r="M38" s="1" t="s">
        <v>92</v>
      </c>
      <c r="N38">
        <v>2010</v>
      </c>
      <c r="O38">
        <v>2012</v>
      </c>
      <c r="P38" s="1" t="s">
        <v>166</v>
      </c>
      <c r="Q38" s="1" t="s">
        <v>167</v>
      </c>
      <c r="R38" s="1" t="s">
        <v>318</v>
      </c>
      <c r="S38" s="1" t="s">
        <v>366</v>
      </c>
      <c r="T38">
        <v>2053</v>
      </c>
      <c r="U38">
        <v>284</v>
      </c>
      <c r="V38" s="1" t="s">
        <v>101</v>
      </c>
      <c r="W38">
        <v>2012</v>
      </c>
      <c r="X38">
        <v>400.92</v>
      </c>
      <c r="Y38">
        <v>8018.3</v>
      </c>
      <c r="Z38">
        <v>0.34</v>
      </c>
      <c r="AA38">
        <v>0.27</v>
      </c>
      <c r="AB38" s="1" t="s">
        <v>101</v>
      </c>
      <c r="AC38">
        <v>2012</v>
      </c>
      <c r="AD38">
        <v>0.38</v>
      </c>
      <c r="AE38">
        <v>25</v>
      </c>
      <c r="AF38" s="1" t="s">
        <v>102</v>
      </c>
      <c r="AG38" s="1" t="s">
        <v>126</v>
      </c>
      <c r="AH38" s="1" t="s">
        <v>92</v>
      </c>
      <c r="AI38">
        <v>1.6</v>
      </c>
      <c r="AJ38" s="1" t="s">
        <v>360</v>
      </c>
      <c r="AK38" s="1" t="s">
        <v>93</v>
      </c>
      <c r="AL38" s="1" t="s">
        <v>360</v>
      </c>
      <c r="AM38" s="1" t="s">
        <v>92</v>
      </c>
      <c r="AN38" s="1" t="s">
        <v>131</v>
      </c>
      <c r="AO38" s="1" t="s">
        <v>362</v>
      </c>
      <c r="AP38" s="1" t="s">
        <v>93</v>
      </c>
      <c r="AQ38" s="1" t="s">
        <v>92</v>
      </c>
      <c r="AR38" s="1" t="s">
        <v>92</v>
      </c>
      <c r="AS38" s="1" t="s">
        <v>245</v>
      </c>
      <c r="AT38" s="1" t="s">
        <v>135</v>
      </c>
      <c r="AU38" s="1" t="s">
        <v>136</v>
      </c>
      <c r="AV38" s="1" t="s">
        <v>120</v>
      </c>
      <c r="AW38" s="1" t="s">
        <v>92</v>
      </c>
      <c r="AX38" s="1" t="s">
        <v>138</v>
      </c>
      <c r="AY38">
        <v>100</v>
      </c>
      <c r="BA38" s="1" t="s">
        <v>92</v>
      </c>
      <c r="BB38" s="1" t="s">
        <v>92</v>
      </c>
      <c r="BC38" s="1" t="s">
        <v>113</v>
      </c>
      <c r="BD38" s="1" t="s">
        <v>92</v>
      </c>
      <c r="BF38" s="1" t="s">
        <v>92</v>
      </c>
      <c r="BG38" s="1" t="s">
        <v>92</v>
      </c>
      <c r="BH38" s="1" t="s">
        <v>92</v>
      </c>
      <c r="BI38" s="1" t="s">
        <v>136</v>
      </c>
      <c r="BJ38" s="1" t="s">
        <v>120</v>
      </c>
      <c r="BK38" s="1" t="s">
        <v>290</v>
      </c>
      <c r="BM38">
        <v>17712</v>
      </c>
      <c r="BN38">
        <v>293</v>
      </c>
      <c r="BO38">
        <v>393</v>
      </c>
      <c r="BP38" s="1" t="s">
        <v>136</v>
      </c>
      <c r="BQ38" s="1" t="s">
        <v>120</v>
      </c>
      <c r="BR38" s="1" t="s">
        <v>218</v>
      </c>
      <c r="BS38" s="1" t="s">
        <v>219</v>
      </c>
      <c r="BT38" s="1" t="s">
        <v>291</v>
      </c>
      <c r="BU38" s="1" t="s">
        <v>363</v>
      </c>
      <c r="BV38" s="1" t="s">
        <v>364</v>
      </c>
      <c r="BW38" s="1" t="s">
        <v>92</v>
      </c>
      <c r="BX38">
        <v>402210</v>
      </c>
      <c r="BY38" s="8">
        <f>BX64/6000/G64</f>
        <v/>
      </c>
      <c r="CE38">
        <v>545</v>
      </c>
      <c r="CF38">
        <v>96</v>
      </c>
      <c r="CG38">
        <v>123</v>
      </c>
      <c r="CI38">
        <v>738</v>
      </c>
      <c r="CJ38">
        <v>6</v>
      </c>
      <c r="CK38">
        <v>600</v>
      </c>
      <c r="CL38">
        <v>45</v>
      </c>
      <c r="CM38" s="1" t="s">
        <v>92</v>
      </c>
    </row>
    <row r="39">
      <c r="A39" s="1" t="s">
        <v>367</v>
      </c>
      <c r="B39" s="1" t="s">
        <v>92</v>
      </c>
      <c r="C39">
        <v>64</v>
      </c>
      <c r="D39" s="1" t="s">
        <v>93</v>
      </c>
      <c r="E39" s="1" t="s">
        <v>94</v>
      </c>
      <c r="F39" s="1" t="s">
        <v>95</v>
      </c>
      <c r="G39">
        <v>50</v>
      </c>
      <c r="H39">
        <v>118</v>
      </c>
      <c r="I39">
        <f/>
        <v/>
      </c>
      <c r="J39" s="1" t="s">
        <v>122</v>
      </c>
      <c r="M39" s="1" t="s">
        <v>92</v>
      </c>
      <c r="O39">
        <v>2012</v>
      </c>
      <c r="P39" s="1" t="s">
        <v>166</v>
      </c>
      <c r="Q39" s="1" t="s">
        <v>167</v>
      </c>
      <c r="R39" s="1" t="s">
        <v>367</v>
      </c>
      <c r="S39" s="1" t="s">
        <v>368</v>
      </c>
      <c r="T39">
        <v>2074</v>
      </c>
      <c r="U39">
        <v>240</v>
      </c>
      <c r="V39" s="1" t="s">
        <v>101</v>
      </c>
      <c r="W39">
        <v>2012</v>
      </c>
      <c r="X39">
        <v>338.8</v>
      </c>
      <c r="Y39">
        <v>6776</v>
      </c>
      <c r="Z39">
        <v>0.25</v>
      </c>
      <c r="AA39">
        <v>0.27</v>
      </c>
      <c r="AB39" s="1" t="s">
        <v>101</v>
      </c>
      <c r="AC39">
        <v>2012</v>
      </c>
      <c r="AD39">
        <v>0.38</v>
      </c>
      <c r="AE39">
        <v>25</v>
      </c>
      <c r="AF39" s="1" t="s">
        <v>102</v>
      </c>
      <c r="AG39" s="1" t="s">
        <v>126</v>
      </c>
      <c r="AH39" s="1" t="s">
        <v>92</v>
      </c>
      <c r="AI39">
        <v>1.9</v>
      </c>
      <c r="AJ39" s="1" t="s">
        <v>170</v>
      </c>
      <c r="AK39" s="1" t="s">
        <v>93</v>
      </c>
      <c r="AL39" s="1" t="s">
        <v>170</v>
      </c>
      <c r="AM39" s="1" t="s">
        <v>92</v>
      </c>
      <c r="AN39" s="1" t="s">
        <v>92</v>
      </c>
      <c r="AO39" s="1" t="s">
        <v>215</v>
      </c>
      <c r="AP39" s="1" t="s">
        <v>93</v>
      </c>
      <c r="AQ39" s="1" t="s">
        <v>92</v>
      </c>
      <c r="AR39" s="1" t="s">
        <v>92</v>
      </c>
      <c r="AS39" s="1" t="s">
        <v>245</v>
      </c>
      <c r="AT39" s="1" t="s">
        <v>135</v>
      </c>
      <c r="AU39" s="1" t="s">
        <v>136</v>
      </c>
      <c r="AV39" s="1" t="s">
        <v>120</v>
      </c>
      <c r="AW39" s="1" t="s">
        <v>369</v>
      </c>
      <c r="AX39" s="1" t="s">
        <v>138</v>
      </c>
      <c r="BA39" s="1" t="s">
        <v>92</v>
      </c>
      <c r="BB39" s="1" t="s">
        <v>92</v>
      </c>
      <c r="BC39" s="1" t="s">
        <v>113</v>
      </c>
      <c r="BD39" s="1" t="s">
        <v>92</v>
      </c>
      <c r="BF39" s="1" t="s">
        <v>92</v>
      </c>
      <c r="BG39" s="1" t="s">
        <v>92</v>
      </c>
      <c r="BH39" s="1" t="s">
        <v>92</v>
      </c>
      <c r="BI39" s="1" t="s">
        <v>150</v>
      </c>
      <c r="BJ39" s="1" t="s">
        <v>120</v>
      </c>
      <c r="BK39" s="1" t="s">
        <v>92</v>
      </c>
      <c r="BN39">
        <v>293</v>
      </c>
      <c r="BO39">
        <v>393</v>
      </c>
      <c r="BP39" s="1" t="s">
        <v>92</v>
      </c>
      <c r="BQ39" s="1" t="s">
        <v>92</v>
      </c>
      <c r="BR39" s="1" t="s">
        <v>215</v>
      </c>
      <c r="BS39" s="1" t="s">
        <v>93</v>
      </c>
      <c r="BT39" s="1" t="s">
        <v>216</v>
      </c>
      <c r="BU39" s="1" t="s">
        <v>204</v>
      </c>
      <c r="BV39" s="1" t="s">
        <v>93</v>
      </c>
      <c r="BW39" s="1" t="s">
        <v>92</v>
      </c>
      <c r="BX39">
        <v>405500</v>
      </c>
      <c r="BY39" s="8">
        <f>BX65/6000/G65</f>
        <v/>
      </c>
      <c r="CG39">
        <v>124</v>
      </c>
      <c r="CI39">
        <v>416</v>
      </c>
      <c r="CM39" s="1" t="s">
        <v>92</v>
      </c>
    </row>
    <row r="40">
      <c r="A40" s="1" t="s">
        <v>370</v>
      </c>
      <c r="B40" s="1" t="s">
        <v>92</v>
      </c>
      <c r="C40">
        <v>65</v>
      </c>
      <c r="D40" s="1" t="s">
        <v>93</v>
      </c>
      <c r="E40" s="1" t="s">
        <v>94</v>
      </c>
      <c r="F40" s="1" t="s">
        <v>95</v>
      </c>
      <c r="G40">
        <v>30</v>
      </c>
      <c r="H40">
        <v>49</v>
      </c>
      <c r="I40" s="4">
        <f/>
        <v/>
      </c>
      <c r="J40" s="1" t="s">
        <v>182</v>
      </c>
      <c r="M40" s="1" t="s">
        <v>92</v>
      </c>
      <c r="N40">
        <v>2011</v>
      </c>
      <c r="O40">
        <v>2012</v>
      </c>
      <c r="P40" s="1" t="s">
        <v>183</v>
      </c>
      <c r="Q40" s="1" t="s">
        <v>184</v>
      </c>
      <c r="R40" s="1" t="s">
        <v>185</v>
      </c>
      <c r="S40" s="1" t="s">
        <v>186</v>
      </c>
      <c r="T40">
        <v>1996</v>
      </c>
      <c r="U40">
        <v>120</v>
      </c>
      <c r="V40" s="1" t="s">
        <v>101</v>
      </c>
      <c r="W40">
        <v>2012</v>
      </c>
      <c r="X40">
        <v>169.4</v>
      </c>
      <c r="Y40">
        <v>5646.7</v>
      </c>
      <c r="Z40">
        <v>0.3</v>
      </c>
      <c r="AA40">
        <v>0.27</v>
      </c>
      <c r="AB40" s="1" t="s">
        <v>101</v>
      </c>
      <c r="AC40">
        <v>2012</v>
      </c>
      <c r="AD40">
        <v>0.38</v>
      </c>
      <c r="AE40">
        <v>25</v>
      </c>
      <c r="AF40" s="1" t="s">
        <v>102</v>
      </c>
      <c r="AG40" s="1" t="s">
        <v>187</v>
      </c>
      <c r="AH40" s="1" t="s">
        <v>92</v>
      </c>
      <c r="AI40">
        <v>0.7</v>
      </c>
      <c r="AJ40" s="1" t="s">
        <v>371</v>
      </c>
      <c r="AK40" s="1" t="s">
        <v>189</v>
      </c>
      <c r="AL40" s="1" t="s">
        <v>372</v>
      </c>
      <c r="AM40" s="1" t="s">
        <v>92</v>
      </c>
      <c r="AN40" s="1" t="s">
        <v>192</v>
      </c>
      <c r="AO40" s="1" t="s">
        <v>197</v>
      </c>
      <c r="AP40" s="1" t="s">
        <v>93</v>
      </c>
      <c r="AQ40" s="1" t="s">
        <v>92</v>
      </c>
      <c r="AR40" s="1" t="s">
        <v>92</v>
      </c>
      <c r="AS40" s="1" t="s">
        <v>373</v>
      </c>
      <c r="AT40" s="1" t="s">
        <v>109</v>
      </c>
      <c r="AU40" s="1" t="s">
        <v>110</v>
      </c>
      <c r="AV40" s="1" t="s">
        <v>111</v>
      </c>
      <c r="AW40" s="1" t="s">
        <v>374</v>
      </c>
      <c r="AX40" s="1" t="s">
        <v>92</v>
      </c>
      <c r="AY40">
        <v>55</v>
      </c>
      <c r="BA40" s="1" t="s">
        <v>92</v>
      </c>
      <c r="BB40" s="1" t="s">
        <v>92</v>
      </c>
      <c r="BC40" s="1" t="s">
        <v>194</v>
      </c>
      <c r="BD40" s="1" t="s">
        <v>195</v>
      </c>
      <c r="BE40">
        <v>0.5</v>
      </c>
      <c r="BF40" s="1" t="s">
        <v>196</v>
      </c>
      <c r="BG40" s="1" t="s">
        <v>92</v>
      </c>
      <c r="BH40" s="1" t="s">
        <v>92</v>
      </c>
      <c r="BI40" s="1" t="s">
        <v>197</v>
      </c>
      <c r="BJ40" s="1" t="s">
        <v>93</v>
      </c>
      <c r="BK40" s="1" t="s">
        <v>198</v>
      </c>
      <c r="BN40">
        <v>140</v>
      </c>
      <c r="BO40">
        <v>270</v>
      </c>
      <c r="BP40" s="1" t="s">
        <v>92</v>
      </c>
      <c r="BQ40" s="1" t="s">
        <v>92</v>
      </c>
      <c r="BR40" s="1" t="s">
        <v>197</v>
      </c>
      <c r="BS40" s="1" t="s">
        <v>120</v>
      </c>
      <c r="BT40" s="1" t="s">
        <v>92</v>
      </c>
      <c r="BU40" s="1" t="s">
        <v>190</v>
      </c>
      <c r="BV40" s="1" t="s">
        <v>93</v>
      </c>
      <c r="BW40" s="1" t="s">
        <v>92</v>
      </c>
      <c r="BX40">
        <v>302000</v>
      </c>
      <c r="BY40" s="8">
        <f>BX66/6000/G66</f>
        <v/>
      </c>
      <c r="CB40">
        <v>16</v>
      </c>
      <c r="CC40">
        <v>28</v>
      </c>
      <c r="CD40">
        <v>940</v>
      </c>
      <c r="CL40">
        <v>25</v>
      </c>
      <c r="CM40" s="1" t="s">
        <v>92</v>
      </c>
    </row>
    <row r="41">
      <c r="A41" s="1" t="s">
        <v>375</v>
      </c>
      <c r="B41" s="1" t="s">
        <v>92</v>
      </c>
      <c r="C41">
        <v>66</v>
      </c>
      <c r="D41" s="1" t="s">
        <v>93</v>
      </c>
      <c r="E41" s="1" t="s">
        <v>94</v>
      </c>
      <c r="F41" s="1" t="s">
        <v>95</v>
      </c>
      <c r="G41">
        <v>50</v>
      </c>
      <c r="H41">
        <v>100</v>
      </c>
      <c r="I41" s="4">
        <f/>
        <v/>
      </c>
      <c r="J41" s="1" t="s">
        <v>122</v>
      </c>
      <c r="M41" s="1" t="s">
        <v>92</v>
      </c>
      <c r="O41">
        <v>2012</v>
      </c>
      <c r="P41" s="1" t="s">
        <v>166</v>
      </c>
      <c r="Q41" s="1" t="s">
        <v>230</v>
      </c>
      <c r="R41" s="1" t="s">
        <v>376</v>
      </c>
      <c r="S41" s="1" t="s">
        <v>377</v>
      </c>
      <c r="T41">
        <v>2076</v>
      </c>
      <c r="U41">
        <v>229</v>
      </c>
      <c r="V41" s="1" t="s">
        <v>101</v>
      </c>
      <c r="W41">
        <v>2012</v>
      </c>
      <c r="X41">
        <v>323.27</v>
      </c>
      <c r="Y41">
        <v>6465.5</v>
      </c>
      <c r="Z41">
        <v>0.28</v>
      </c>
      <c r="AA41">
        <v>0.27</v>
      </c>
      <c r="AB41" s="1" t="s">
        <v>101</v>
      </c>
      <c r="AC41">
        <v>2012</v>
      </c>
      <c r="AD41">
        <v>0.38</v>
      </c>
      <c r="AE41">
        <v>25</v>
      </c>
      <c r="AF41" s="1" t="s">
        <v>102</v>
      </c>
      <c r="AG41" s="1" t="s">
        <v>126</v>
      </c>
      <c r="AH41" s="1" t="s">
        <v>92</v>
      </c>
      <c r="AI41">
        <v>1.1</v>
      </c>
      <c r="AJ41" s="1" t="s">
        <v>105</v>
      </c>
      <c r="AK41" s="1" t="s">
        <v>93</v>
      </c>
      <c r="AL41" s="1" t="s">
        <v>378</v>
      </c>
      <c r="AM41" s="1" t="s">
        <v>105</v>
      </c>
      <c r="AN41" s="1" t="s">
        <v>92</v>
      </c>
      <c r="AO41" s="1" t="s">
        <v>277</v>
      </c>
      <c r="AP41" s="1" t="s">
        <v>93</v>
      </c>
      <c r="AQ41" s="1" t="s">
        <v>92</v>
      </c>
      <c r="AR41" s="1" t="s">
        <v>92</v>
      </c>
      <c r="AS41" s="1" t="s">
        <v>245</v>
      </c>
      <c r="AT41" s="1" t="s">
        <v>135</v>
      </c>
      <c r="AU41" s="1" t="s">
        <v>92</v>
      </c>
      <c r="AV41" s="1" t="s">
        <v>92</v>
      </c>
      <c r="AW41" s="1" t="s">
        <v>92</v>
      </c>
      <c r="AX41" s="1" t="s">
        <v>138</v>
      </c>
      <c r="AY41">
        <v>100</v>
      </c>
      <c r="BA41" s="1" t="s">
        <v>92</v>
      </c>
      <c r="BB41" s="1" t="s">
        <v>92</v>
      </c>
      <c r="BC41" s="1" t="s">
        <v>113</v>
      </c>
      <c r="BD41" s="1" t="s">
        <v>92</v>
      </c>
      <c r="BF41" s="1" t="s">
        <v>92</v>
      </c>
      <c r="BG41" s="1" t="s">
        <v>92</v>
      </c>
      <c r="BH41" s="1" t="s">
        <v>92</v>
      </c>
      <c r="BI41" s="1" t="s">
        <v>150</v>
      </c>
      <c r="BJ41" s="1" t="s">
        <v>120</v>
      </c>
      <c r="BK41" s="1" t="s">
        <v>92</v>
      </c>
      <c r="BM41">
        <v>12960</v>
      </c>
      <c r="BN41">
        <v>293</v>
      </c>
      <c r="BO41">
        <v>393</v>
      </c>
      <c r="BP41" s="1" t="s">
        <v>105</v>
      </c>
      <c r="BQ41" s="1" t="s">
        <v>93</v>
      </c>
      <c r="BR41" s="1" t="s">
        <v>105</v>
      </c>
      <c r="BS41" s="1" t="s">
        <v>93</v>
      </c>
      <c r="BT41" s="1" t="s">
        <v>203</v>
      </c>
      <c r="BU41" s="1" t="s">
        <v>92</v>
      </c>
      <c r="BV41" s="1" t="s">
        <v>92</v>
      </c>
      <c r="BW41" s="1" t="s">
        <v>92</v>
      </c>
      <c r="BX41">
        <v>300000</v>
      </c>
      <c r="BY41" s="8">
        <f>BX67/6000/G67</f>
        <v/>
      </c>
      <c r="CF41">
        <v>150</v>
      </c>
      <c r="CG41">
        <v>90</v>
      </c>
      <c r="CH41">
        <v>12</v>
      </c>
      <c r="CI41">
        <v>360</v>
      </c>
      <c r="CJ41">
        <v>4</v>
      </c>
      <c r="CK41">
        <v>700</v>
      </c>
      <c r="CL41">
        <v>85</v>
      </c>
      <c r="CM41" s="1" t="s">
        <v>92</v>
      </c>
    </row>
    <row r="42">
      <c r="A42" s="1" t="s">
        <v>379</v>
      </c>
      <c r="B42" s="1" t="s">
        <v>92</v>
      </c>
      <c r="C42">
        <v>67</v>
      </c>
      <c r="D42" s="1" t="s">
        <v>93</v>
      </c>
      <c r="E42" s="1" t="s">
        <v>94</v>
      </c>
      <c r="F42" s="1" t="s">
        <v>95</v>
      </c>
      <c r="G42">
        <v>50</v>
      </c>
      <c r="H42">
        <v>100</v>
      </c>
      <c r="I42">
        <f/>
        <v/>
      </c>
      <c r="J42" s="1" t="s">
        <v>122</v>
      </c>
      <c r="M42" s="1" t="s">
        <v>92</v>
      </c>
      <c r="O42">
        <v>2012</v>
      </c>
      <c r="P42" s="1" t="s">
        <v>166</v>
      </c>
      <c r="Q42" s="1" t="s">
        <v>230</v>
      </c>
      <c r="R42" s="1" t="s">
        <v>376</v>
      </c>
      <c r="S42" s="1" t="s">
        <v>377</v>
      </c>
      <c r="T42">
        <v>2076</v>
      </c>
      <c r="U42">
        <v>229</v>
      </c>
      <c r="V42" s="1" t="s">
        <v>101</v>
      </c>
      <c r="W42">
        <v>2012</v>
      </c>
      <c r="X42">
        <v>323.27</v>
      </c>
      <c r="Y42">
        <v>6465.5</v>
      </c>
      <c r="Z42">
        <v>0.28</v>
      </c>
      <c r="AA42">
        <v>0.27</v>
      </c>
      <c r="AB42" s="1" t="s">
        <v>101</v>
      </c>
      <c r="AC42">
        <v>2012</v>
      </c>
      <c r="AD42">
        <v>0.38</v>
      </c>
      <c r="AE42">
        <v>25</v>
      </c>
      <c r="AF42" s="1" t="s">
        <v>102</v>
      </c>
      <c r="AG42" s="1" t="s">
        <v>126</v>
      </c>
      <c r="AH42" s="1" t="s">
        <v>92</v>
      </c>
      <c r="AI42">
        <v>1.1</v>
      </c>
      <c r="AJ42" s="1" t="s">
        <v>105</v>
      </c>
      <c r="AK42" s="1" t="s">
        <v>93</v>
      </c>
      <c r="AL42" s="1" t="s">
        <v>378</v>
      </c>
      <c r="AM42" s="1" t="s">
        <v>105</v>
      </c>
      <c r="AN42" s="1" t="s">
        <v>92</v>
      </c>
      <c r="AO42" s="1" t="s">
        <v>277</v>
      </c>
      <c r="AP42" s="1" t="s">
        <v>93</v>
      </c>
      <c r="AQ42" s="1" t="s">
        <v>92</v>
      </c>
      <c r="AR42" s="1" t="s">
        <v>92</v>
      </c>
      <c r="AS42" s="1" t="s">
        <v>245</v>
      </c>
      <c r="AT42" s="1" t="s">
        <v>135</v>
      </c>
      <c r="AU42" s="1" t="s">
        <v>92</v>
      </c>
      <c r="AV42" s="1" t="s">
        <v>92</v>
      </c>
      <c r="AW42" s="1" t="s">
        <v>92</v>
      </c>
      <c r="AX42" s="1" t="s">
        <v>138</v>
      </c>
      <c r="AY42">
        <v>100</v>
      </c>
      <c r="BA42" s="1" t="s">
        <v>92</v>
      </c>
      <c r="BB42" s="1" t="s">
        <v>92</v>
      </c>
      <c r="BC42" s="1" t="s">
        <v>113</v>
      </c>
      <c r="BD42" s="1" t="s">
        <v>92</v>
      </c>
      <c r="BF42" s="1" t="s">
        <v>92</v>
      </c>
      <c r="BG42" s="1" t="s">
        <v>92</v>
      </c>
      <c r="BH42" s="1" t="s">
        <v>92</v>
      </c>
      <c r="BI42" s="1" t="s">
        <v>150</v>
      </c>
      <c r="BJ42" s="1" t="s">
        <v>120</v>
      </c>
      <c r="BK42" s="1" t="s">
        <v>92</v>
      </c>
      <c r="BM42">
        <v>12960</v>
      </c>
      <c r="BN42">
        <v>293</v>
      </c>
      <c r="BO42">
        <v>393</v>
      </c>
      <c r="BP42" s="1" t="s">
        <v>105</v>
      </c>
      <c r="BQ42" s="1" t="s">
        <v>93</v>
      </c>
      <c r="BR42" s="1" t="s">
        <v>105</v>
      </c>
      <c r="BS42" s="1" t="s">
        <v>93</v>
      </c>
      <c r="BT42" s="1" t="s">
        <v>203</v>
      </c>
      <c r="BU42" s="1" t="s">
        <v>92</v>
      </c>
      <c r="BV42" s="1" t="s">
        <v>92</v>
      </c>
      <c r="BW42" s="1" t="s">
        <v>92</v>
      </c>
      <c r="BX42">
        <v>300000</v>
      </c>
      <c r="BY42" s="8">
        <f>BX68/6000/G68</f>
        <v/>
      </c>
      <c r="CF42">
        <v>150</v>
      </c>
      <c r="CG42">
        <v>90</v>
      </c>
      <c r="CH42">
        <v>12</v>
      </c>
      <c r="CI42">
        <v>360</v>
      </c>
      <c r="CJ42">
        <v>4</v>
      </c>
      <c r="CK42">
        <v>700</v>
      </c>
      <c r="CL42">
        <v>85</v>
      </c>
      <c r="CM42" s="1" t="s">
        <v>92</v>
      </c>
    </row>
    <row r="43">
      <c r="A43" s="1" t="s">
        <v>380</v>
      </c>
      <c r="B43" s="1" t="s">
        <v>92</v>
      </c>
      <c r="C43">
        <v>68</v>
      </c>
      <c r="D43" s="1" t="s">
        <v>93</v>
      </c>
      <c r="E43" s="1" t="s">
        <v>94</v>
      </c>
      <c r="F43" s="1" t="s">
        <v>95</v>
      </c>
      <c r="G43">
        <v>50</v>
      </c>
      <c r="H43">
        <v>100</v>
      </c>
      <c r="I43" s="4">
        <f/>
        <v/>
      </c>
      <c r="J43" s="1" t="s">
        <v>122</v>
      </c>
      <c r="M43" s="1" t="s">
        <v>92</v>
      </c>
      <c r="O43">
        <v>2012</v>
      </c>
      <c r="P43" s="1" t="s">
        <v>97</v>
      </c>
      <c r="Q43" s="1" t="s">
        <v>235</v>
      </c>
      <c r="R43" s="1" t="s">
        <v>381</v>
      </c>
      <c r="S43" s="1" t="s">
        <v>382</v>
      </c>
      <c r="T43">
        <v>2042</v>
      </c>
      <c r="U43">
        <v>229</v>
      </c>
      <c r="V43" s="1" t="s">
        <v>101</v>
      </c>
      <c r="W43">
        <v>2012</v>
      </c>
      <c r="X43">
        <v>323.27</v>
      </c>
      <c r="Y43">
        <v>6465.5</v>
      </c>
      <c r="Z43">
        <v>0.28</v>
      </c>
      <c r="AA43">
        <v>0.27</v>
      </c>
      <c r="AB43" s="1" t="s">
        <v>101</v>
      </c>
      <c r="AC43">
        <v>2012</v>
      </c>
      <c r="AD43">
        <v>0.38</v>
      </c>
      <c r="AE43">
        <v>25</v>
      </c>
      <c r="AF43" s="1" t="s">
        <v>102</v>
      </c>
      <c r="AG43" s="1" t="s">
        <v>126</v>
      </c>
      <c r="AH43" s="1" t="s">
        <v>92</v>
      </c>
      <c r="AI43">
        <v>1.1</v>
      </c>
      <c r="AJ43" s="1" t="s">
        <v>105</v>
      </c>
      <c r="AK43" s="1" t="s">
        <v>93</v>
      </c>
      <c r="AL43" s="1" t="s">
        <v>383</v>
      </c>
      <c r="AM43" s="1" t="s">
        <v>105</v>
      </c>
      <c r="AN43" s="1" t="s">
        <v>92</v>
      </c>
      <c r="AO43" s="1" t="s">
        <v>277</v>
      </c>
      <c r="AP43" s="1" t="s">
        <v>93</v>
      </c>
      <c r="AQ43" s="1" t="s">
        <v>92</v>
      </c>
      <c r="AR43" s="1" t="s">
        <v>92</v>
      </c>
      <c r="AS43" s="1" t="s">
        <v>245</v>
      </c>
      <c r="AT43" s="1" t="s">
        <v>135</v>
      </c>
      <c r="AU43" s="1" t="s">
        <v>92</v>
      </c>
      <c r="AV43" s="1" t="s">
        <v>92</v>
      </c>
      <c r="AW43" s="1" t="s">
        <v>92</v>
      </c>
      <c r="AX43" s="1" t="s">
        <v>138</v>
      </c>
      <c r="AY43">
        <v>100</v>
      </c>
      <c r="BA43" s="1" t="s">
        <v>92</v>
      </c>
      <c r="BB43" s="1" t="s">
        <v>92</v>
      </c>
      <c r="BC43" s="1" t="s">
        <v>113</v>
      </c>
      <c r="BD43" s="1" t="s">
        <v>92</v>
      </c>
      <c r="BF43" s="1" t="s">
        <v>92</v>
      </c>
      <c r="BG43" s="1" t="s">
        <v>92</v>
      </c>
      <c r="BH43" s="1" t="s">
        <v>92</v>
      </c>
      <c r="BI43" s="1" t="s">
        <v>150</v>
      </c>
      <c r="BJ43" s="1" t="s">
        <v>120</v>
      </c>
      <c r="BK43" s="1" t="s">
        <v>92</v>
      </c>
      <c r="BM43">
        <v>12960</v>
      </c>
      <c r="BN43">
        <v>293</v>
      </c>
      <c r="BO43">
        <v>393</v>
      </c>
      <c r="BP43" s="1" t="s">
        <v>105</v>
      </c>
      <c r="BQ43" s="1" t="s">
        <v>93</v>
      </c>
      <c r="BR43" s="1" t="s">
        <v>105</v>
      </c>
      <c r="BS43" s="1" t="s">
        <v>93</v>
      </c>
      <c r="BT43" s="1" t="s">
        <v>203</v>
      </c>
      <c r="BU43" s="1" t="s">
        <v>92</v>
      </c>
      <c r="BV43" s="1" t="s">
        <v>92</v>
      </c>
      <c r="BW43" s="1" t="s">
        <v>92</v>
      </c>
      <c r="BX43">
        <v>300000</v>
      </c>
      <c r="BY43" s="8">
        <f>BX69/6000/G69</f>
        <v/>
      </c>
      <c r="CF43">
        <v>150</v>
      </c>
      <c r="CG43">
        <v>90</v>
      </c>
      <c r="CH43">
        <v>12</v>
      </c>
      <c r="CI43">
        <v>360</v>
      </c>
      <c r="CJ43">
        <v>4</v>
      </c>
      <c r="CK43">
        <v>450</v>
      </c>
      <c r="CL43">
        <v>40</v>
      </c>
      <c r="CM43" s="1" t="s">
        <v>92</v>
      </c>
    </row>
    <row r="44">
      <c r="A44" s="1" t="s">
        <v>384</v>
      </c>
      <c r="B44" s="1" t="s">
        <v>92</v>
      </c>
      <c r="C44">
        <v>69</v>
      </c>
      <c r="D44" s="1" t="s">
        <v>93</v>
      </c>
      <c r="E44" s="1" t="s">
        <v>94</v>
      </c>
      <c r="F44" s="1" t="s">
        <v>95</v>
      </c>
      <c r="G44">
        <v>50</v>
      </c>
      <c r="H44">
        <v>100</v>
      </c>
      <c r="I44" s="4">
        <f/>
        <v/>
      </c>
      <c r="J44" s="1" t="s">
        <v>122</v>
      </c>
      <c r="M44" s="1" t="s">
        <v>92</v>
      </c>
      <c r="O44">
        <v>2012</v>
      </c>
      <c r="P44" s="1" t="s">
        <v>97</v>
      </c>
      <c r="Q44" s="1" t="s">
        <v>235</v>
      </c>
      <c r="R44" s="1" t="s">
        <v>381</v>
      </c>
      <c r="S44" s="1" t="s">
        <v>382</v>
      </c>
      <c r="T44">
        <v>2042</v>
      </c>
      <c r="U44">
        <v>229</v>
      </c>
      <c r="V44" s="1" t="s">
        <v>101</v>
      </c>
      <c r="W44">
        <v>2012</v>
      </c>
      <c r="X44">
        <v>323.27</v>
      </c>
      <c r="Y44">
        <v>6465.5</v>
      </c>
      <c r="Z44">
        <v>0.28</v>
      </c>
      <c r="AA44">
        <v>0.27</v>
      </c>
      <c r="AB44" s="1" t="s">
        <v>101</v>
      </c>
      <c r="AC44">
        <v>2012</v>
      </c>
      <c r="AD44">
        <v>0.38</v>
      </c>
      <c r="AE44">
        <v>25</v>
      </c>
      <c r="AF44" s="1" t="s">
        <v>102</v>
      </c>
      <c r="AG44" s="1" t="s">
        <v>126</v>
      </c>
      <c r="AH44" s="1" t="s">
        <v>92</v>
      </c>
      <c r="AI44">
        <v>1.1</v>
      </c>
      <c r="AJ44" s="1" t="s">
        <v>105</v>
      </c>
      <c r="AK44" s="1" t="s">
        <v>93</v>
      </c>
      <c r="AL44" s="1" t="s">
        <v>383</v>
      </c>
      <c r="AM44" s="1" t="s">
        <v>105</v>
      </c>
      <c r="AN44" s="1" t="s">
        <v>92</v>
      </c>
      <c r="AO44" s="1" t="s">
        <v>277</v>
      </c>
      <c r="AP44" s="1" t="s">
        <v>93</v>
      </c>
      <c r="AQ44" s="1" t="s">
        <v>92</v>
      </c>
      <c r="AR44" s="1" t="s">
        <v>92</v>
      </c>
      <c r="AS44" s="1" t="s">
        <v>245</v>
      </c>
      <c r="AT44" s="1" t="s">
        <v>135</v>
      </c>
      <c r="AU44" s="1" t="s">
        <v>92</v>
      </c>
      <c r="AV44" s="1" t="s">
        <v>92</v>
      </c>
      <c r="AW44" s="1" t="s">
        <v>92</v>
      </c>
      <c r="AX44" s="1" t="s">
        <v>138</v>
      </c>
      <c r="AY44">
        <v>100</v>
      </c>
      <c r="BA44" s="1" t="s">
        <v>92</v>
      </c>
      <c r="BB44" s="1" t="s">
        <v>92</v>
      </c>
      <c r="BC44" s="1" t="s">
        <v>113</v>
      </c>
      <c r="BD44" s="1" t="s">
        <v>92</v>
      </c>
      <c r="BF44" s="1" t="s">
        <v>92</v>
      </c>
      <c r="BG44" s="1" t="s">
        <v>92</v>
      </c>
      <c r="BH44" s="1" t="s">
        <v>92</v>
      </c>
      <c r="BI44" s="1" t="s">
        <v>150</v>
      </c>
      <c r="BJ44" s="1" t="s">
        <v>120</v>
      </c>
      <c r="BK44" s="1" t="s">
        <v>92</v>
      </c>
      <c r="BM44">
        <v>12960</v>
      </c>
      <c r="BN44">
        <v>293</v>
      </c>
      <c r="BO44">
        <v>393</v>
      </c>
      <c r="BP44" s="1" t="s">
        <v>105</v>
      </c>
      <c r="BQ44" s="1" t="s">
        <v>93</v>
      </c>
      <c r="BR44" s="1" t="s">
        <v>105</v>
      </c>
      <c r="BS44" s="1" t="s">
        <v>93</v>
      </c>
      <c r="BT44" s="1" t="s">
        <v>203</v>
      </c>
      <c r="BU44" s="1" t="s">
        <v>92</v>
      </c>
      <c r="BV44" s="1" t="s">
        <v>92</v>
      </c>
      <c r="BW44" s="1" t="s">
        <v>92</v>
      </c>
      <c r="BX44">
        <v>300000</v>
      </c>
      <c r="BY44" s="8">
        <f>BX70/6000/G70</f>
        <v/>
      </c>
      <c r="CF44">
        <v>150</v>
      </c>
      <c r="CG44">
        <v>90</v>
      </c>
      <c r="CH44">
        <v>12</v>
      </c>
      <c r="CI44">
        <v>360</v>
      </c>
      <c r="CJ44">
        <v>4</v>
      </c>
      <c r="CK44">
        <v>450</v>
      </c>
      <c r="CL44">
        <v>40</v>
      </c>
      <c r="CM44" s="1" t="s">
        <v>92</v>
      </c>
    </row>
    <row r="45">
      <c r="A45" s="1" t="s">
        <v>385</v>
      </c>
      <c r="B45" s="1" t="s">
        <v>92</v>
      </c>
      <c r="C45">
        <v>71</v>
      </c>
      <c r="D45" s="1" t="s">
        <v>93</v>
      </c>
      <c r="E45" s="1" t="s">
        <v>94</v>
      </c>
      <c r="F45" s="1" t="s">
        <v>95</v>
      </c>
      <c r="G45">
        <v>50</v>
      </c>
      <c r="H45">
        <v>166</v>
      </c>
      <c r="I45" s="4">
        <f/>
        <v/>
      </c>
      <c r="J45" s="1" t="s">
        <v>122</v>
      </c>
      <c r="M45" s="1" t="s">
        <v>92</v>
      </c>
      <c r="N45">
        <v>2011</v>
      </c>
      <c r="O45">
        <v>2013</v>
      </c>
      <c r="P45" s="1" t="s">
        <v>97</v>
      </c>
      <c r="Q45" s="1" t="s">
        <v>98</v>
      </c>
      <c r="R45" s="1" t="s">
        <v>358</v>
      </c>
      <c r="S45" s="1" t="s">
        <v>386</v>
      </c>
      <c r="T45">
        <v>2064</v>
      </c>
      <c r="U45">
        <v>313.5</v>
      </c>
      <c r="V45" s="1" t="s">
        <v>101</v>
      </c>
      <c r="W45">
        <v>2013</v>
      </c>
      <c r="X45">
        <v>450.01</v>
      </c>
      <c r="Y45">
        <v>9000.3</v>
      </c>
      <c r="Z45">
        <v>0.23</v>
      </c>
      <c r="AA45">
        <v>0.27</v>
      </c>
      <c r="AB45" s="1" t="s">
        <v>101</v>
      </c>
      <c r="AC45">
        <v>2013</v>
      </c>
      <c r="AD45">
        <v>0.39</v>
      </c>
      <c r="AE45">
        <v>25</v>
      </c>
      <c r="AF45" s="1" t="s">
        <v>102</v>
      </c>
      <c r="AG45" s="1" t="s">
        <v>126</v>
      </c>
      <c r="AH45" s="1" t="s">
        <v>92</v>
      </c>
      <c r="AI45">
        <v>2.2</v>
      </c>
      <c r="AJ45" s="1" t="s">
        <v>387</v>
      </c>
      <c r="AK45" s="1" t="s">
        <v>120</v>
      </c>
      <c r="AL45" s="1" t="s">
        <v>388</v>
      </c>
      <c r="AM45" s="1" t="s">
        <v>389</v>
      </c>
      <c r="AN45" s="1" t="s">
        <v>92</v>
      </c>
      <c r="AO45" s="1" t="s">
        <v>390</v>
      </c>
      <c r="AP45" s="1" t="s">
        <v>93</v>
      </c>
      <c r="AQ45" s="1" t="s">
        <v>391</v>
      </c>
      <c r="AR45" s="1" t="s">
        <v>120</v>
      </c>
      <c r="AS45" s="1" t="s">
        <v>392</v>
      </c>
      <c r="AT45" s="1" t="s">
        <v>135</v>
      </c>
      <c r="AU45" s="1" t="s">
        <v>110</v>
      </c>
      <c r="AV45" s="1" t="s">
        <v>111</v>
      </c>
      <c r="AW45" s="1" t="s">
        <v>92</v>
      </c>
      <c r="AX45" s="1" t="s">
        <v>138</v>
      </c>
      <c r="BA45" s="1" t="s">
        <v>92</v>
      </c>
      <c r="BB45" s="1" t="s">
        <v>92</v>
      </c>
      <c r="BC45" s="1" t="s">
        <v>113</v>
      </c>
      <c r="BD45" s="1" t="s">
        <v>139</v>
      </c>
      <c r="BE45">
        <v>7</v>
      </c>
      <c r="BF45" s="1" t="s">
        <v>393</v>
      </c>
      <c r="BG45" s="1" t="s">
        <v>92</v>
      </c>
      <c r="BH45" s="1" t="s">
        <v>92</v>
      </c>
      <c r="BI45" s="1" t="s">
        <v>136</v>
      </c>
      <c r="BJ45" s="1" t="s">
        <v>120</v>
      </c>
      <c r="BK45" s="1" t="s">
        <v>290</v>
      </c>
      <c r="BM45">
        <v>22464</v>
      </c>
      <c r="BN45">
        <v>293</v>
      </c>
      <c r="BO45">
        <v>393</v>
      </c>
      <c r="BP45" s="1" t="s">
        <v>136</v>
      </c>
      <c r="BQ45" s="1" t="s">
        <v>120</v>
      </c>
      <c r="BR45" s="1" t="s">
        <v>218</v>
      </c>
      <c r="BS45" s="1" t="s">
        <v>219</v>
      </c>
      <c r="BT45" s="1" t="s">
        <v>291</v>
      </c>
      <c r="BU45" s="1" t="s">
        <v>92</v>
      </c>
      <c r="BV45" s="1" t="s">
        <v>92</v>
      </c>
      <c r="BW45" s="1" t="s">
        <v>92</v>
      </c>
      <c r="BX45">
        <v>510120</v>
      </c>
      <c r="BY45" s="8">
        <f>BX72/6000/G72</f>
        <v/>
      </c>
      <c r="CE45">
        <v>545</v>
      </c>
      <c r="CF45">
        <v>96</v>
      </c>
      <c r="CG45">
        <v>156</v>
      </c>
      <c r="CI45">
        <v>936</v>
      </c>
      <c r="CJ45">
        <v>6</v>
      </c>
      <c r="CM45" s="1" t="s">
        <v>92</v>
      </c>
    </row>
    <row r="46">
      <c r="A46" s="1" t="s">
        <v>394</v>
      </c>
      <c r="B46" s="1" t="s">
        <v>92</v>
      </c>
      <c r="C46">
        <v>73</v>
      </c>
      <c r="D46" s="1" t="s">
        <v>93</v>
      </c>
      <c r="E46" s="1" t="s">
        <v>94</v>
      </c>
      <c r="F46" s="1" t="s">
        <v>95</v>
      </c>
      <c r="G46">
        <v>50</v>
      </c>
      <c r="H46">
        <v>160</v>
      </c>
      <c r="I46" s="4">
        <f/>
        <v/>
      </c>
      <c r="J46" s="1" t="s">
        <v>122</v>
      </c>
      <c r="M46" s="1" t="s">
        <v>92</v>
      </c>
      <c r="O46">
        <v>2013</v>
      </c>
      <c r="P46" s="1" t="s">
        <v>166</v>
      </c>
      <c r="Q46" s="1" t="s">
        <v>167</v>
      </c>
      <c r="R46" s="1" t="s">
        <v>395</v>
      </c>
      <c r="S46" s="1" t="s">
        <v>396</v>
      </c>
      <c r="T46">
        <v>2064</v>
      </c>
      <c r="U46">
        <v>345</v>
      </c>
      <c r="V46" s="1" t="s">
        <v>101</v>
      </c>
      <c r="W46">
        <v>2013</v>
      </c>
      <c r="X46">
        <v>495.23</v>
      </c>
      <c r="Y46">
        <v>9904.6</v>
      </c>
      <c r="Z46">
        <v>0.27</v>
      </c>
      <c r="AA46">
        <v>0.27</v>
      </c>
      <c r="AB46" s="1" t="s">
        <v>101</v>
      </c>
      <c r="AC46">
        <v>2013</v>
      </c>
      <c r="AD46">
        <v>0.39</v>
      </c>
      <c r="AE46">
        <v>25</v>
      </c>
      <c r="AF46" s="1" t="s">
        <v>102</v>
      </c>
      <c r="AG46" s="1" t="s">
        <v>126</v>
      </c>
      <c r="AH46" s="1" t="s">
        <v>397</v>
      </c>
      <c r="AI46">
        <v>2</v>
      </c>
      <c r="AJ46" s="1" t="s">
        <v>210</v>
      </c>
      <c r="AK46" s="1" t="s">
        <v>93</v>
      </c>
      <c r="AL46" s="1" t="s">
        <v>297</v>
      </c>
      <c r="AM46" s="1" t="s">
        <v>92</v>
      </c>
      <c r="AN46" s="1" t="s">
        <v>131</v>
      </c>
      <c r="AO46" s="1" t="s">
        <v>210</v>
      </c>
      <c r="AP46" s="1" t="s">
        <v>93</v>
      </c>
      <c r="AQ46" s="1" t="s">
        <v>92</v>
      </c>
      <c r="AR46" s="1" t="s">
        <v>92</v>
      </c>
      <c r="AS46" s="1" t="s">
        <v>173</v>
      </c>
      <c r="AT46" s="1" t="s">
        <v>135</v>
      </c>
      <c r="AU46" s="1" t="s">
        <v>136</v>
      </c>
      <c r="AV46" s="1" t="s">
        <v>120</v>
      </c>
      <c r="AW46" s="1" t="s">
        <v>92</v>
      </c>
      <c r="AX46" s="1" t="s">
        <v>138</v>
      </c>
      <c r="AY46">
        <v>100</v>
      </c>
      <c r="AZ46">
        <v>38.1</v>
      </c>
      <c r="BA46" s="1" t="s">
        <v>92</v>
      </c>
      <c r="BB46" s="1" t="s">
        <v>92</v>
      </c>
      <c r="BC46" s="1" t="s">
        <v>113</v>
      </c>
      <c r="BD46" s="1" t="s">
        <v>139</v>
      </c>
      <c r="BE46">
        <v>7.5</v>
      </c>
      <c r="BF46" s="1" t="s">
        <v>356</v>
      </c>
      <c r="BG46" s="1" t="s">
        <v>92</v>
      </c>
      <c r="BH46" s="1" t="s">
        <v>92</v>
      </c>
      <c r="BI46" s="1" t="s">
        <v>218</v>
      </c>
      <c r="BJ46" s="1" t="s">
        <v>219</v>
      </c>
      <c r="BK46" s="1" t="s">
        <v>220</v>
      </c>
      <c r="BM46">
        <v>22464</v>
      </c>
      <c r="BN46">
        <v>293</v>
      </c>
      <c r="BO46">
        <v>393</v>
      </c>
      <c r="BP46" s="1" t="s">
        <v>215</v>
      </c>
      <c r="BQ46" s="1" t="s">
        <v>93</v>
      </c>
      <c r="BR46" s="1" t="s">
        <v>215</v>
      </c>
      <c r="BS46" s="1" t="s">
        <v>93</v>
      </c>
      <c r="BT46" s="1" t="s">
        <v>216</v>
      </c>
      <c r="BU46" s="1" t="s">
        <v>119</v>
      </c>
      <c r="BV46" s="1" t="s">
        <v>120</v>
      </c>
      <c r="BW46" s="1" t="s">
        <v>147</v>
      </c>
      <c r="BX46">
        <v>510120</v>
      </c>
      <c r="BY46" s="8">
        <f>BX74/6000/G74</f>
        <v/>
      </c>
      <c r="CE46">
        <v>817</v>
      </c>
      <c r="CF46">
        <v>144</v>
      </c>
      <c r="CG46">
        <v>156</v>
      </c>
      <c r="CH46">
        <v>12</v>
      </c>
      <c r="CI46">
        <v>624</v>
      </c>
      <c r="CJ46">
        <v>4</v>
      </c>
      <c r="CM46" s="1" t="s">
        <v>92</v>
      </c>
    </row>
    <row r="47">
      <c r="A47" s="1" t="s">
        <v>398</v>
      </c>
      <c r="B47" s="1" t="s">
        <v>92</v>
      </c>
      <c r="C47">
        <v>74</v>
      </c>
      <c r="D47" s="1" t="s">
        <v>93</v>
      </c>
      <c r="E47" s="1" t="s">
        <v>94</v>
      </c>
      <c r="F47" s="1" t="s">
        <v>95</v>
      </c>
      <c r="G47">
        <v>50</v>
      </c>
      <c r="H47">
        <v>100</v>
      </c>
      <c r="I47" s="4">
        <f/>
        <v/>
      </c>
      <c r="J47" s="1" t="s">
        <v>122</v>
      </c>
      <c r="M47" s="1" t="s">
        <v>92</v>
      </c>
      <c r="N47">
        <v>2010</v>
      </c>
      <c r="O47">
        <v>2013</v>
      </c>
      <c r="P47" s="1" t="s">
        <v>399</v>
      </c>
      <c r="Q47" s="1" t="s">
        <v>400</v>
      </c>
      <c r="R47" s="1" t="s">
        <v>401</v>
      </c>
      <c r="S47" s="1" t="s">
        <v>402</v>
      </c>
      <c r="T47">
        <v>1992</v>
      </c>
      <c r="U47">
        <v>225</v>
      </c>
      <c r="V47" s="1" t="s">
        <v>101</v>
      </c>
      <c r="W47">
        <v>2013</v>
      </c>
      <c r="X47">
        <v>322.98</v>
      </c>
      <c r="Y47">
        <v>6459.5</v>
      </c>
      <c r="Z47">
        <v>0.28</v>
      </c>
      <c r="AA47">
        <v>0.27</v>
      </c>
      <c r="AB47" s="1" t="s">
        <v>101</v>
      </c>
      <c r="AC47">
        <v>2013</v>
      </c>
      <c r="AD47">
        <v>0.39</v>
      </c>
      <c r="AE47">
        <v>25</v>
      </c>
      <c r="AF47" s="1" t="s">
        <v>102</v>
      </c>
      <c r="AG47" s="1" t="s">
        <v>126</v>
      </c>
      <c r="AH47" s="1" t="s">
        <v>92</v>
      </c>
      <c r="AI47">
        <v>2.1</v>
      </c>
      <c r="AJ47" s="1" t="s">
        <v>211</v>
      </c>
      <c r="AK47" s="1" t="s">
        <v>93</v>
      </c>
      <c r="AL47" s="1" t="s">
        <v>211</v>
      </c>
      <c r="AM47" s="1" t="s">
        <v>92</v>
      </c>
      <c r="AN47" s="1" t="s">
        <v>92</v>
      </c>
      <c r="AO47" s="1" t="s">
        <v>403</v>
      </c>
      <c r="AP47" s="1" t="s">
        <v>93</v>
      </c>
      <c r="AQ47" s="1" t="s">
        <v>92</v>
      </c>
      <c r="AR47" s="1" t="s">
        <v>92</v>
      </c>
      <c r="AS47" s="1" t="s">
        <v>245</v>
      </c>
      <c r="AT47" s="1" t="s">
        <v>135</v>
      </c>
      <c r="AU47" s="1" t="s">
        <v>246</v>
      </c>
      <c r="AV47" s="1" t="s">
        <v>120</v>
      </c>
      <c r="AW47" s="1" t="s">
        <v>92</v>
      </c>
      <c r="AX47" s="1" t="s">
        <v>138</v>
      </c>
      <c r="AY47">
        <v>100</v>
      </c>
      <c r="BA47" s="1" t="s">
        <v>92</v>
      </c>
      <c r="BB47" s="1" t="s">
        <v>92</v>
      </c>
      <c r="BC47" s="1" t="s">
        <v>113</v>
      </c>
      <c r="BD47" s="1" t="s">
        <v>92</v>
      </c>
      <c r="BF47" s="1" t="s">
        <v>92</v>
      </c>
      <c r="BG47" s="1" t="s">
        <v>92</v>
      </c>
      <c r="BH47" s="1" t="s">
        <v>92</v>
      </c>
      <c r="BI47" s="1" t="s">
        <v>150</v>
      </c>
      <c r="BJ47" s="1" t="s">
        <v>120</v>
      </c>
      <c r="BK47" s="1" t="s">
        <v>213</v>
      </c>
      <c r="BN47">
        <v>293</v>
      </c>
      <c r="BO47">
        <v>393</v>
      </c>
      <c r="BP47" s="1" t="s">
        <v>215</v>
      </c>
      <c r="BQ47" s="1" t="s">
        <v>93</v>
      </c>
      <c r="BR47" s="1" t="s">
        <v>215</v>
      </c>
      <c r="BS47" s="1" t="s">
        <v>93</v>
      </c>
      <c r="BT47" s="1" t="s">
        <v>216</v>
      </c>
      <c r="BU47" s="1" t="s">
        <v>119</v>
      </c>
      <c r="BV47" s="1" t="s">
        <v>120</v>
      </c>
      <c r="BW47" s="1" t="s">
        <v>147</v>
      </c>
      <c r="BX47">
        <v>339506</v>
      </c>
      <c r="BY47" s="8">
        <f>BX75/6000/G75</f>
        <v/>
      </c>
      <c r="CF47">
        <v>150</v>
      </c>
      <c r="CG47">
        <v>105</v>
      </c>
      <c r="CH47">
        <v>12</v>
      </c>
      <c r="CI47">
        <v>420</v>
      </c>
      <c r="CJ47">
        <v>4</v>
      </c>
      <c r="CM47" s="1" t="s">
        <v>92</v>
      </c>
    </row>
    <row r="48">
      <c r="A48" s="1" t="s">
        <v>404</v>
      </c>
      <c r="B48" s="1" t="s">
        <v>92</v>
      </c>
      <c r="C48">
        <v>78</v>
      </c>
      <c r="D48" s="1" t="s">
        <v>93</v>
      </c>
      <c r="E48" s="1" t="s">
        <v>94</v>
      </c>
      <c r="F48" s="1" t="s">
        <v>95</v>
      </c>
      <c r="G48">
        <v>50</v>
      </c>
      <c r="H48">
        <v>100</v>
      </c>
      <c r="I48" s="4">
        <f/>
        <v/>
      </c>
      <c r="J48" s="1" t="s">
        <v>122</v>
      </c>
      <c r="M48" s="1" t="s">
        <v>92</v>
      </c>
      <c r="O48">
        <v>2013</v>
      </c>
      <c r="P48" s="1" t="s">
        <v>166</v>
      </c>
      <c r="Q48" s="1" t="s">
        <v>230</v>
      </c>
      <c r="R48" s="1" t="s">
        <v>376</v>
      </c>
      <c r="S48" s="1" t="s">
        <v>377</v>
      </c>
      <c r="T48">
        <v>2076</v>
      </c>
      <c r="U48">
        <v>240</v>
      </c>
      <c r="V48" s="1" t="s">
        <v>101</v>
      </c>
      <c r="W48">
        <v>2013</v>
      </c>
      <c r="X48">
        <v>344.51</v>
      </c>
      <c r="Y48">
        <v>6890.2</v>
      </c>
      <c r="Z48">
        <v>0.3</v>
      </c>
      <c r="AA48">
        <v>0.27</v>
      </c>
      <c r="AB48" s="1" t="s">
        <v>101</v>
      </c>
      <c r="AC48">
        <v>2013</v>
      </c>
      <c r="AD48">
        <v>0.39</v>
      </c>
      <c r="AE48">
        <v>25</v>
      </c>
      <c r="AF48" s="1" t="s">
        <v>102</v>
      </c>
      <c r="AG48" s="1" t="s">
        <v>126</v>
      </c>
      <c r="AH48" s="1" t="s">
        <v>405</v>
      </c>
      <c r="AI48">
        <v>1.1</v>
      </c>
      <c r="AJ48" s="1" t="s">
        <v>105</v>
      </c>
      <c r="AK48" s="1" t="s">
        <v>93</v>
      </c>
      <c r="AL48" s="1" t="s">
        <v>105</v>
      </c>
      <c r="AM48" s="1" t="s">
        <v>105</v>
      </c>
      <c r="AN48" s="1" t="s">
        <v>92</v>
      </c>
      <c r="AO48" s="1" t="s">
        <v>277</v>
      </c>
      <c r="AP48" s="1" t="s">
        <v>93</v>
      </c>
      <c r="AQ48" s="1" t="s">
        <v>92</v>
      </c>
      <c r="AR48" s="1" t="s">
        <v>92</v>
      </c>
      <c r="AS48" s="1" t="s">
        <v>245</v>
      </c>
      <c r="AT48" s="1" t="s">
        <v>135</v>
      </c>
      <c r="AU48" s="1" t="s">
        <v>92</v>
      </c>
      <c r="AV48" s="1" t="s">
        <v>92</v>
      </c>
      <c r="AW48" s="1" t="s">
        <v>92</v>
      </c>
      <c r="AX48" s="1" t="s">
        <v>138</v>
      </c>
      <c r="AY48">
        <v>100</v>
      </c>
      <c r="BA48" s="1" t="s">
        <v>92</v>
      </c>
      <c r="BB48" s="1" t="s">
        <v>92</v>
      </c>
      <c r="BC48" s="1" t="s">
        <v>113</v>
      </c>
      <c r="BD48" s="1" t="s">
        <v>92</v>
      </c>
      <c r="BF48" s="1" t="s">
        <v>92</v>
      </c>
      <c r="BG48" s="1" t="s">
        <v>92</v>
      </c>
      <c r="BH48" s="1" t="s">
        <v>92</v>
      </c>
      <c r="BI48" s="1" t="s">
        <v>150</v>
      </c>
      <c r="BJ48" s="1" t="s">
        <v>120</v>
      </c>
      <c r="BK48" s="1" t="s">
        <v>92</v>
      </c>
      <c r="BM48">
        <v>12960</v>
      </c>
      <c r="BN48">
        <v>293</v>
      </c>
      <c r="BO48">
        <v>393</v>
      </c>
      <c r="BP48" s="1" t="s">
        <v>105</v>
      </c>
      <c r="BQ48" s="1" t="s">
        <v>93</v>
      </c>
      <c r="BR48" s="1" t="s">
        <v>105</v>
      </c>
      <c r="BS48" s="1" t="s">
        <v>93</v>
      </c>
      <c r="BT48" s="1" t="s">
        <v>203</v>
      </c>
      <c r="BU48" s="1" t="s">
        <v>92</v>
      </c>
      <c r="BV48" s="1" t="s">
        <v>92</v>
      </c>
      <c r="BW48" s="1" t="s">
        <v>92</v>
      </c>
      <c r="BX48">
        <v>300000</v>
      </c>
      <c r="BY48" s="8">
        <f>BX79/6000/G79</f>
        <v/>
      </c>
      <c r="CF48">
        <v>150</v>
      </c>
      <c r="CG48">
        <v>90</v>
      </c>
      <c r="CH48">
        <v>12</v>
      </c>
      <c r="CI48">
        <v>360</v>
      </c>
      <c r="CJ48">
        <v>4</v>
      </c>
      <c r="CK48">
        <v>700</v>
      </c>
      <c r="CL48">
        <v>85</v>
      </c>
      <c r="CM48" s="1" t="s">
        <v>92</v>
      </c>
    </row>
    <row r="49">
      <c r="A49" s="1" t="s">
        <v>406</v>
      </c>
      <c r="B49" s="1" t="s">
        <v>92</v>
      </c>
      <c r="C49">
        <v>79</v>
      </c>
      <c r="D49" s="1" t="s">
        <v>93</v>
      </c>
      <c r="E49" s="1" t="s">
        <v>94</v>
      </c>
      <c r="F49" s="1" t="s">
        <v>95</v>
      </c>
      <c r="G49">
        <v>50</v>
      </c>
      <c r="H49">
        <v>100</v>
      </c>
      <c r="I49" s="4">
        <f/>
        <v/>
      </c>
      <c r="J49" s="1" t="s">
        <v>122</v>
      </c>
      <c r="M49" s="1" t="s">
        <v>92</v>
      </c>
      <c r="O49">
        <v>2013</v>
      </c>
      <c r="P49" s="1" t="s">
        <v>166</v>
      </c>
      <c r="Q49" s="1" t="s">
        <v>230</v>
      </c>
      <c r="R49" s="1" t="s">
        <v>376</v>
      </c>
      <c r="S49" s="1" t="s">
        <v>377</v>
      </c>
      <c r="T49">
        <v>2076</v>
      </c>
      <c r="U49">
        <v>229</v>
      </c>
      <c r="V49" s="1" t="s">
        <v>101</v>
      </c>
      <c r="W49">
        <v>2013</v>
      </c>
      <c r="X49">
        <v>328.72</v>
      </c>
      <c r="Y49">
        <v>6574.4</v>
      </c>
      <c r="Z49">
        <v>0.28</v>
      </c>
      <c r="AA49">
        <v>0.27</v>
      </c>
      <c r="AB49" s="1" t="s">
        <v>101</v>
      </c>
      <c r="AC49">
        <v>2013</v>
      </c>
      <c r="AD49">
        <v>0.39</v>
      </c>
      <c r="AE49">
        <v>25</v>
      </c>
      <c r="AF49" s="1" t="s">
        <v>102</v>
      </c>
      <c r="AG49" s="1" t="s">
        <v>126</v>
      </c>
      <c r="AH49" s="1" t="s">
        <v>405</v>
      </c>
      <c r="AI49">
        <v>1.1</v>
      </c>
      <c r="AJ49" s="1" t="s">
        <v>105</v>
      </c>
      <c r="AK49" s="1" t="s">
        <v>93</v>
      </c>
      <c r="AL49" s="1" t="s">
        <v>105</v>
      </c>
      <c r="AM49" s="1" t="s">
        <v>105</v>
      </c>
      <c r="AN49" s="1" t="s">
        <v>92</v>
      </c>
      <c r="AO49" s="1" t="s">
        <v>277</v>
      </c>
      <c r="AP49" s="1" t="s">
        <v>93</v>
      </c>
      <c r="AQ49" s="1" t="s">
        <v>92</v>
      </c>
      <c r="AR49" s="1" t="s">
        <v>92</v>
      </c>
      <c r="AS49" s="1" t="s">
        <v>245</v>
      </c>
      <c r="AT49" s="1" t="s">
        <v>135</v>
      </c>
      <c r="AU49" s="1" t="s">
        <v>92</v>
      </c>
      <c r="AV49" s="1" t="s">
        <v>92</v>
      </c>
      <c r="AW49" s="1" t="s">
        <v>92</v>
      </c>
      <c r="AX49" s="1" t="s">
        <v>138</v>
      </c>
      <c r="AY49">
        <v>100</v>
      </c>
      <c r="BA49" s="1" t="s">
        <v>92</v>
      </c>
      <c r="BB49" s="1" t="s">
        <v>92</v>
      </c>
      <c r="BC49" s="1" t="s">
        <v>113</v>
      </c>
      <c r="BD49" s="1" t="s">
        <v>92</v>
      </c>
      <c r="BF49" s="1" t="s">
        <v>92</v>
      </c>
      <c r="BG49" s="1" t="s">
        <v>92</v>
      </c>
      <c r="BH49" s="1" t="s">
        <v>92</v>
      </c>
      <c r="BI49" s="1" t="s">
        <v>150</v>
      </c>
      <c r="BJ49" s="1" t="s">
        <v>120</v>
      </c>
      <c r="BK49" s="1" t="s">
        <v>92</v>
      </c>
      <c r="BM49">
        <v>12960</v>
      </c>
      <c r="BN49">
        <v>293</v>
      </c>
      <c r="BO49">
        <v>393</v>
      </c>
      <c r="BP49" s="1" t="s">
        <v>105</v>
      </c>
      <c r="BQ49" s="1" t="s">
        <v>93</v>
      </c>
      <c r="BR49" s="1" t="s">
        <v>105</v>
      </c>
      <c r="BS49" s="1" t="s">
        <v>93</v>
      </c>
      <c r="BT49" s="1" t="s">
        <v>203</v>
      </c>
      <c r="BU49" s="1" t="s">
        <v>92</v>
      </c>
      <c r="BV49" s="1" t="s">
        <v>92</v>
      </c>
      <c r="BW49" s="1" t="s">
        <v>92</v>
      </c>
      <c r="BX49">
        <v>300000</v>
      </c>
      <c r="BY49" s="8">
        <f>BX80/6000/G80</f>
        <v/>
      </c>
      <c r="CF49">
        <v>150</v>
      </c>
      <c r="CG49">
        <v>90</v>
      </c>
      <c r="CH49">
        <v>12</v>
      </c>
      <c r="CI49">
        <v>360</v>
      </c>
      <c r="CJ49">
        <v>4</v>
      </c>
      <c r="CK49">
        <v>700</v>
      </c>
      <c r="CL49">
        <v>85</v>
      </c>
      <c r="CM49" s="1" t="s">
        <v>92</v>
      </c>
    </row>
    <row r="50">
      <c r="A50" s="1" t="s">
        <v>407</v>
      </c>
      <c r="B50" s="1" t="s">
        <v>92</v>
      </c>
      <c r="C50">
        <v>82</v>
      </c>
      <c r="D50" s="1" t="s">
        <v>93</v>
      </c>
      <c r="E50" s="1" t="s">
        <v>94</v>
      </c>
      <c r="F50" s="1" t="s">
        <v>95</v>
      </c>
      <c r="G50">
        <v>50</v>
      </c>
      <c r="H50">
        <v>180</v>
      </c>
      <c r="I50" s="4">
        <f/>
        <v/>
      </c>
      <c r="J50" s="1" t="s">
        <v>122</v>
      </c>
      <c r="M50" s="1" t="s">
        <v>92</v>
      </c>
      <c r="N50">
        <v>2011</v>
      </c>
      <c r="O50">
        <v>2013</v>
      </c>
      <c r="P50" s="1" t="s">
        <v>166</v>
      </c>
      <c r="Q50" s="1" t="s">
        <v>167</v>
      </c>
      <c r="R50" s="1" t="s">
        <v>408</v>
      </c>
      <c r="S50" s="1" t="s">
        <v>409</v>
      </c>
      <c r="T50">
        <v>2077</v>
      </c>
      <c r="U50">
        <v>409.5</v>
      </c>
      <c r="V50" s="1" t="s">
        <v>101</v>
      </c>
      <c r="W50">
        <v>2013</v>
      </c>
      <c r="X50">
        <v>587.82</v>
      </c>
      <c r="Y50">
        <v>11756.3</v>
      </c>
      <c r="Z50">
        <v>0.28</v>
      </c>
      <c r="AA50">
        <v>0.27</v>
      </c>
      <c r="AB50" s="1" t="s">
        <v>101</v>
      </c>
      <c r="AC50">
        <v>2013</v>
      </c>
      <c r="AD50">
        <v>0.39</v>
      </c>
      <c r="AE50">
        <v>25</v>
      </c>
      <c r="AF50" s="1" t="s">
        <v>102</v>
      </c>
      <c r="AG50" s="1" t="s">
        <v>126</v>
      </c>
      <c r="AH50" s="1" t="s">
        <v>92</v>
      </c>
      <c r="AI50">
        <v>2</v>
      </c>
      <c r="AJ50" s="1" t="s">
        <v>410</v>
      </c>
      <c r="AK50" s="1" t="s">
        <v>111</v>
      </c>
      <c r="AL50" s="1" t="s">
        <v>411</v>
      </c>
      <c r="AM50" s="1" t="s">
        <v>92</v>
      </c>
      <c r="AN50" s="1" t="s">
        <v>92</v>
      </c>
      <c r="AO50" s="1" t="s">
        <v>215</v>
      </c>
      <c r="AP50" s="1" t="s">
        <v>93</v>
      </c>
      <c r="AQ50" s="1" t="s">
        <v>92</v>
      </c>
      <c r="AR50" s="1" t="s">
        <v>92</v>
      </c>
      <c r="AS50" s="1" t="s">
        <v>245</v>
      </c>
      <c r="AT50" s="1" t="s">
        <v>135</v>
      </c>
      <c r="AU50" s="1" t="s">
        <v>92</v>
      </c>
      <c r="AV50" s="1" t="s">
        <v>92</v>
      </c>
      <c r="AW50" s="1" t="s">
        <v>92</v>
      </c>
      <c r="AX50" s="1" t="s">
        <v>138</v>
      </c>
      <c r="BA50" s="1" t="s">
        <v>92</v>
      </c>
      <c r="BB50" s="1" t="s">
        <v>92</v>
      </c>
      <c r="BC50" s="1" t="s">
        <v>113</v>
      </c>
      <c r="BD50" s="1" t="s">
        <v>139</v>
      </c>
      <c r="BE50">
        <v>9</v>
      </c>
      <c r="BF50" s="1" t="s">
        <v>356</v>
      </c>
      <c r="BG50" s="1" t="s">
        <v>92</v>
      </c>
      <c r="BH50" s="1" t="s">
        <v>92</v>
      </c>
      <c r="BI50" s="1" t="s">
        <v>92</v>
      </c>
      <c r="BJ50" s="1" t="s">
        <v>92</v>
      </c>
      <c r="BK50" s="1" t="s">
        <v>92</v>
      </c>
      <c r="BN50">
        <v>293</v>
      </c>
      <c r="BO50">
        <v>393</v>
      </c>
      <c r="BP50" s="1" t="s">
        <v>412</v>
      </c>
      <c r="BQ50" s="1" t="s">
        <v>93</v>
      </c>
      <c r="BR50" s="1" t="s">
        <v>215</v>
      </c>
      <c r="BS50" s="1" t="s">
        <v>93</v>
      </c>
      <c r="BT50" s="1" t="s">
        <v>216</v>
      </c>
      <c r="BU50" s="1" t="s">
        <v>119</v>
      </c>
      <c r="BV50" s="1" t="s">
        <v>120</v>
      </c>
      <c r="BW50" s="1" t="s">
        <v>147</v>
      </c>
      <c r="BX50">
        <v>523200</v>
      </c>
      <c r="BY50" s="8">
        <f>BX83/6000/G83</f>
        <v/>
      </c>
      <c r="CE50">
        <v>817</v>
      </c>
      <c r="CG50">
        <v>160</v>
      </c>
      <c r="CI50">
        <v>640</v>
      </c>
      <c r="CJ50">
        <v>4</v>
      </c>
      <c r="CM50" s="1" t="s">
        <v>92</v>
      </c>
    </row>
    <row r="51">
      <c r="A51" s="1" t="s">
        <v>413</v>
      </c>
      <c r="B51" s="1" t="s">
        <v>92</v>
      </c>
      <c r="C51">
        <v>83</v>
      </c>
      <c r="D51" s="1" t="s">
        <v>93</v>
      </c>
      <c r="E51" s="1" t="s">
        <v>94</v>
      </c>
      <c r="F51" s="1" t="s">
        <v>95</v>
      </c>
      <c r="G51">
        <v>50</v>
      </c>
      <c r="H51">
        <v>180</v>
      </c>
      <c r="I51">
        <f/>
        <v/>
      </c>
      <c r="J51" s="1" t="s">
        <v>122</v>
      </c>
      <c r="M51" s="1" t="s">
        <v>92</v>
      </c>
      <c r="N51">
        <v>2011</v>
      </c>
      <c r="O51">
        <v>2013</v>
      </c>
      <c r="P51" s="1" t="s">
        <v>166</v>
      </c>
      <c r="Q51" s="1" t="s">
        <v>167</v>
      </c>
      <c r="R51" s="1" t="s">
        <v>408</v>
      </c>
      <c r="S51" s="1" t="s">
        <v>409</v>
      </c>
      <c r="T51">
        <v>2077</v>
      </c>
      <c r="U51">
        <v>409.5</v>
      </c>
      <c r="V51" s="1" t="s">
        <v>101</v>
      </c>
      <c r="W51">
        <v>2013</v>
      </c>
      <c r="X51">
        <v>587.82</v>
      </c>
      <c r="Y51">
        <v>11756.3</v>
      </c>
      <c r="Z51">
        <v>0.28</v>
      </c>
      <c r="AA51">
        <v>0.27</v>
      </c>
      <c r="AB51" s="1" t="s">
        <v>101</v>
      </c>
      <c r="AC51">
        <v>2013</v>
      </c>
      <c r="AD51">
        <v>0.39</v>
      </c>
      <c r="AE51">
        <v>25</v>
      </c>
      <c r="AF51" s="1" t="s">
        <v>102</v>
      </c>
      <c r="AG51" s="1" t="s">
        <v>126</v>
      </c>
      <c r="AH51" s="1" t="s">
        <v>92</v>
      </c>
      <c r="AI51">
        <v>2</v>
      </c>
      <c r="AJ51" s="1" t="s">
        <v>410</v>
      </c>
      <c r="AK51" s="1" t="s">
        <v>111</v>
      </c>
      <c r="AL51" s="1" t="s">
        <v>411</v>
      </c>
      <c r="AM51" s="1" t="s">
        <v>92</v>
      </c>
      <c r="AN51" s="1" t="s">
        <v>92</v>
      </c>
      <c r="AO51" s="1" t="s">
        <v>215</v>
      </c>
      <c r="AP51" s="1" t="s">
        <v>93</v>
      </c>
      <c r="AQ51" s="1" t="s">
        <v>92</v>
      </c>
      <c r="AR51" s="1" t="s">
        <v>92</v>
      </c>
      <c r="AS51" s="1" t="s">
        <v>245</v>
      </c>
      <c r="AT51" s="1" t="s">
        <v>135</v>
      </c>
      <c r="AU51" s="1" t="s">
        <v>92</v>
      </c>
      <c r="AV51" s="1" t="s">
        <v>92</v>
      </c>
      <c r="AW51" s="1" t="s">
        <v>92</v>
      </c>
      <c r="AX51" s="1" t="s">
        <v>138</v>
      </c>
      <c r="BA51" s="1" t="s">
        <v>92</v>
      </c>
      <c r="BB51" s="1" t="s">
        <v>92</v>
      </c>
      <c r="BC51" s="1" t="s">
        <v>113</v>
      </c>
      <c r="BD51" s="1" t="s">
        <v>139</v>
      </c>
      <c r="BE51">
        <v>9</v>
      </c>
      <c r="BF51" s="1" t="s">
        <v>356</v>
      </c>
      <c r="BG51" s="1" t="s">
        <v>92</v>
      </c>
      <c r="BH51" s="1" t="s">
        <v>92</v>
      </c>
      <c r="BI51" s="1" t="s">
        <v>92</v>
      </c>
      <c r="BJ51" s="1" t="s">
        <v>92</v>
      </c>
      <c r="BK51" s="1" t="s">
        <v>92</v>
      </c>
      <c r="BN51">
        <v>293</v>
      </c>
      <c r="BO51">
        <v>393</v>
      </c>
      <c r="BP51" s="1" t="s">
        <v>412</v>
      </c>
      <c r="BQ51" s="1" t="s">
        <v>93</v>
      </c>
      <c r="BR51" s="1" t="s">
        <v>215</v>
      </c>
      <c r="BS51" s="1" t="s">
        <v>93</v>
      </c>
      <c r="BT51" s="1" t="s">
        <v>216</v>
      </c>
      <c r="BU51" s="1" t="s">
        <v>414</v>
      </c>
      <c r="BV51" s="1" t="s">
        <v>120</v>
      </c>
      <c r="BW51" s="1" t="s">
        <v>147</v>
      </c>
      <c r="BX51">
        <v>523200</v>
      </c>
      <c r="BY51" s="8">
        <f>BX84/6000/G84</f>
        <v/>
      </c>
      <c r="CE51">
        <v>817</v>
      </c>
      <c r="CG51">
        <v>160</v>
      </c>
      <c r="CI51">
        <v>640</v>
      </c>
      <c r="CJ51">
        <v>4</v>
      </c>
      <c r="CM51" s="1" t="s">
        <v>92</v>
      </c>
    </row>
    <row r="52">
      <c r="A52" s="1" t="s">
        <v>415</v>
      </c>
      <c r="B52" s="1" t="s">
        <v>92</v>
      </c>
      <c r="C52">
        <v>138</v>
      </c>
      <c r="D52" s="1" t="s">
        <v>93</v>
      </c>
      <c r="E52" s="1" t="s">
        <v>94</v>
      </c>
      <c r="F52" s="1" t="s">
        <v>95</v>
      </c>
      <c r="G52">
        <v>5</v>
      </c>
      <c r="J52" s="1" t="s">
        <v>96</v>
      </c>
      <c r="M52" s="1" t="s">
        <v>92</v>
      </c>
      <c r="O52">
        <v>2012</v>
      </c>
      <c r="P52" s="1" t="s">
        <v>97</v>
      </c>
      <c r="Q52" s="1" t="s">
        <v>98</v>
      </c>
      <c r="R52" s="1" t="s">
        <v>98</v>
      </c>
      <c r="S52" s="1" t="s">
        <v>92</v>
      </c>
      <c r="V52" s="1" t="s">
        <v>92</v>
      </c>
      <c r="AB52" s="1" t="s">
        <v>92</v>
      </c>
      <c r="AF52" s="1" t="s">
        <v>92</v>
      </c>
      <c r="AG52" s="1" t="s">
        <v>92</v>
      </c>
      <c r="AH52" s="1" t="s">
        <v>92</v>
      </c>
      <c r="AJ52" s="1" t="s">
        <v>105</v>
      </c>
      <c r="AK52" s="1" t="s">
        <v>93</v>
      </c>
      <c r="AL52" s="1" t="s">
        <v>92</v>
      </c>
      <c r="AM52" s="1" t="s">
        <v>92</v>
      </c>
      <c r="AN52" s="1" t="s">
        <v>92</v>
      </c>
      <c r="AO52" s="1" t="s">
        <v>92</v>
      </c>
      <c r="AP52" s="1" t="s">
        <v>92</v>
      </c>
      <c r="AQ52" s="1" t="s">
        <v>92</v>
      </c>
      <c r="AR52" s="1" t="s">
        <v>92</v>
      </c>
      <c r="AS52" s="1" t="s">
        <v>416</v>
      </c>
      <c r="AT52" s="1" t="s">
        <v>265</v>
      </c>
      <c r="AU52" s="1" t="s">
        <v>92</v>
      </c>
      <c r="AV52" s="1" t="s">
        <v>92</v>
      </c>
      <c r="AW52" s="1" t="s">
        <v>92</v>
      </c>
      <c r="AX52" s="1" t="s">
        <v>92</v>
      </c>
      <c r="BA52" s="1" t="s">
        <v>92</v>
      </c>
      <c r="BB52" s="1" t="s">
        <v>92</v>
      </c>
      <c r="BC52" s="1" t="s">
        <v>92</v>
      </c>
      <c r="BD52" s="1" t="s">
        <v>92</v>
      </c>
      <c r="BF52" s="1" t="s">
        <v>92</v>
      </c>
      <c r="BG52" s="1" t="s">
        <v>92</v>
      </c>
      <c r="BH52" s="1" t="s">
        <v>92</v>
      </c>
      <c r="BI52" s="1" t="s">
        <v>92</v>
      </c>
      <c r="BJ52" s="1" t="s">
        <v>92</v>
      </c>
      <c r="BK52" s="1" t="s">
        <v>92</v>
      </c>
      <c r="BN52">
        <v>290</v>
      </c>
      <c r="BO52">
        <v>565</v>
      </c>
      <c r="BP52" s="1" t="s">
        <v>105</v>
      </c>
      <c r="BQ52" s="1" t="s">
        <v>93</v>
      </c>
      <c r="BR52" s="1" t="s">
        <v>105</v>
      </c>
      <c r="BS52" s="1" t="s">
        <v>93</v>
      </c>
      <c r="BT52" s="1" t="s">
        <v>92</v>
      </c>
      <c r="BU52" s="1" t="s">
        <v>92</v>
      </c>
      <c r="BV52" s="1" t="s">
        <v>92</v>
      </c>
      <c r="BW52" s="1" t="s">
        <v>92</v>
      </c>
      <c r="BX52">
        <v>10560</v>
      </c>
      <c r="BY52" s="8">
        <f>BX136/6000/G136</f>
        <v/>
      </c>
      <c r="BZ52">
        <v>88</v>
      </c>
      <c r="CA52">
        <v>120</v>
      </c>
      <c r="CM52" s="1" t="s">
        <v>417</v>
      </c>
    </row>
  </sheetData>
  <autoFilter ref="A1:CM147" xr:uid="{932C9696-B96D-4ED0-ACF8-5A8E00AFA897}">
    <filterColumn colId="5">
      <filters>
        <filter val="Under Construction"/>
      </filters>
    </filterColumn>
  </autoFilter>
  <hyperlinks>
    <hyperlink ref="CM142" r:id="rId1" xr:uid="{95A8399A-BBEB-4AEC-AC61-00DD79E78D20}"/>
    <hyperlink ref="CM146" r:id="rId2" xr:uid="{AD04AB5D-9B01-4A1C-814D-7AD342F34DF4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E0AF-49D6-4719-823A-410668FCC514}">
  <dimension ref="A1:C7"/>
  <sheetViews>
    <sheetView workbookViewId="0"/>
  </sheetViews>
  <sheetFormatPr defaultRowHeight="15"/>
  <cols>
    <col min="1" max="1" width="20.29" bestFit="1" customWidth="1"/>
    <col min="2" max="2" width="39.29" bestFit="1" customWidth="1"/>
    <col min="3" max="3" width="120.29" bestFit="1" customWidth="1"/>
  </cols>
  <sheetData>
    <row r="1">
      <c r="A1" s="9" t="s">
        <v>418</v>
      </c>
    </row>
    <row r="2">
      <c r="A2" t="s">
        <v>419</v>
      </c>
      <c r="B2" s="7" t="s">
        <v>420</v>
      </c>
    </row>
    <row r="3">
      <c r="A3" t="s">
        <v>421</v>
      </c>
      <c r="B3" t="s">
        <v>422</v>
      </c>
      <c r="C3" s="7" t="s">
        <v>423</v>
      </c>
    </row>
    <row r="4">
      <c r="A4" t="s">
        <v>424</v>
      </c>
      <c r="C4" t="s">
        <v>425</v>
      </c>
    </row>
    <row r="5">
      <c r="A5" t="s">
        <v>426</v>
      </c>
      <c r="B5" t="s">
        <v>427</v>
      </c>
    </row>
    <row r="6">
      <c r="A6" t="s">
        <v>428</v>
      </c>
      <c r="B6" s="7" t="s">
        <v>429</v>
      </c>
    </row>
    <row r="7">
      <c r="A7" t="s">
        <v>430</v>
      </c>
      <c r="B7" s="7" t="s">
        <v>431</v>
      </c>
    </row>
  </sheetData>
  <hyperlinks>
    <hyperlink ref="C3" r:id="rId1" xr:uid="{1F78C94D-04AB-459B-ADA8-D830B93E9F51}"/>
    <hyperlink ref="B2" r:id="rId2" xr:uid="{0216D586-6BE2-4C7F-AC1B-0432616B086F}"/>
    <hyperlink ref="B6" r:id="rId3" xr:uid="{A901501E-E058-4ECE-8B62-6261F949ABED}"/>
    <hyperlink ref="B7" r:id="rId4" xr:uid="{F53B476A-2879-4AD1-A11F-4ACC6F4F170A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C17979-DFE9-4342-B73F-EA392D224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csp-guru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Thonig</dc:creator>
  <cp:lastModifiedBy>Richard Thonig</cp:lastModifiedBy>
  <dcterms:created xsi:type="dcterms:W3CDTF">2022-07-11T09:14:31Z</dcterms:created>
  <dcterms:modified xsi:type="dcterms:W3CDTF">2023-04-03T15:53:15Z</dcterms:modified>
</cp:coreProperties>
</file>